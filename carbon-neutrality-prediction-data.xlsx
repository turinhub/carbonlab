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7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<sst xmlns="http://schemas.openxmlformats.org/spreadsheetml/2006/main" count="611" uniqueCount="63">
  <si>
    <t>年份</t>
  </si>
  <si>
    <t>省份</t>
  </si>
  <si>
    <t>耕地利用面积（hm2）</t>
  </si>
  <si>
    <t>林地利用面积（hm2）</t>
  </si>
  <si>
    <t>草地利用面积（hm2）</t>
  </si>
  <si>
    <r>
      <rPr>
        <sz val="11"/>
        <color theme="1"/>
        <rFont val="宋体"/>
        <charset val="134"/>
        <scheme val="minor"/>
      </rPr>
      <t>城市绿地利用面积（hm</t>
    </r>
    <r>
      <rPr>
        <vertAlign val="super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）</t>
    </r>
  </si>
  <si>
    <t>CO2排放量（mt）</t>
  </si>
  <si>
    <t>常住人口（万人）</t>
  </si>
  <si>
    <t>城镇人口（万人）</t>
  </si>
  <si>
    <t>城镇化率（%）</t>
  </si>
  <si>
    <t>人均GDP（元/人）</t>
  </si>
  <si>
    <t>单位GDP碳排放（t/万元）</t>
  </si>
  <si>
    <t>单位GDP能耗（tce/万元）</t>
  </si>
  <si>
    <t>能源消耗量(万吨)</t>
  </si>
  <si>
    <t>第二产业增加值(亿元)</t>
  </si>
  <si>
    <t>GDP(亿元)</t>
  </si>
  <si>
    <t>第二产业增加值占GDP比重（%）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</si>
  <si>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</si>
  <si>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</si>
  <si>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</si>
  <si>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</si>
  <si>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</si>
  <si>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</si>
  <si>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</si>
  <si>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</si>
  <si>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</si>
  <si>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</si>
  <si>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</si>
  <si>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</si>
  <si>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</si>
  <si>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</si>
  <si>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</si>
  <si>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</si>
  <si>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</si>
  <si>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</si>
  <si>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</si>
  <si>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</si>
  <si>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</si>
  <si>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</si>
  <si>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</si>
  <si>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</si>
  <si>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</si>
  <si>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</si>
  <si>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</si>
  <si>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</si>
  <si>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</si>
  <si>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</si>
  <si>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/>
  </si>
  <si>
    <t>惯性发展情景</t>
  </si>
  <si>
    <t>规划控制情景</t>
  </si>
  <si>
    <t>达峰约束情景</t>
  </si>
  <si>
    <t>绿色发展情景</t>
  </si>
  <si>
    <t>碳排放强度下降率(%)</t>
  </si>
  <si>
    <t>（由2020年较2005下降48.4%目标得到）</t>
  </si>
  <si>
    <t>（由公式）</t>
  </si>
  <si>
    <t>（由公式区间取最大值）</t>
  </si>
  <si>
    <t>（论文给出）</t>
  </si>
  <si>
    <t>C02碳排放量（mt）</t>
  </si>
  <si>
    <t>碳排放强度下降指标(%)</t>
  </si>
  <si>
    <t>下降率</t>
  </si>
  <si>
    <r>
      <rPr>
        <sz val="11"/>
        <color theme="1"/>
        <rFont val="宋体"/>
        <charset val="134"/>
        <scheme val="minor"/>
      </rPr>
      <t>GDP</t>
    </r>
    <r>
      <rPr>
        <vertAlign val="subscript"/>
        <sz val="11"/>
        <color theme="1"/>
        <rFont val="宋体"/>
        <charset val="134"/>
        <scheme val="minor"/>
      </rPr>
      <t>2020</t>
    </r>
  </si>
  <si>
    <r>
      <rPr>
        <sz val="11"/>
        <color theme="1"/>
        <rFont val="宋体"/>
        <charset val="134"/>
        <scheme val="minor"/>
      </rPr>
      <t>GDP</t>
    </r>
    <r>
      <rPr>
        <vertAlign val="subscript"/>
        <sz val="11"/>
        <color theme="1"/>
        <rFont val="宋体"/>
        <charset val="134"/>
        <scheme val="minor"/>
      </rPr>
      <t>2021</t>
    </r>
  </si>
  <si>
    <t>碳排放强度下降指标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</si>
</sst>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J5" sqref="J5"/>
    </sheetView>
  </sheetViews>
  <sheetFormatPr defaultColWidth="8.63636363636364" defaultRowHeight="14"/>
  <cols>
    <col min="1" max="2" width="8.63636363636364" style="10" customWidth="1"/>
    <col min="3" max="5" width="8.63636363636364" style="11" customWidth="1"/>
    <col min="6" max="9" width="8.63636363636364" style="10" customWidth="1"/>
    <col min="10" max="10" width="8.63636363636364" style="12" customWidth="1"/>
    <col min="11" max="11" width="10" style="10" customWidth="1"/>
    <col min="12" max="16" width="8.63636363636364" style="10" customWidth="1"/>
    <col min="17" max="17" width="8.63636363636364" style="12" customWidth="1"/>
    <col min="18" max="16376" width="8.63636363636364" style="10" customWidth="1"/>
    <col min="16377" max="16384" width="8.63636363636364" style="10"/>
  </cols>
  <sheetData>
    <row r="1" ht="56" spans="1:17">
      <c r="A1" s="10" t="s">
        <v>0</v>
      </c>
      <c r="B1" s="10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2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2" t="s">
        <v>16</v>
      </c>
    </row>
    <row r="2" spans="1:17">
      <c r="A2" s="10">
        <v>2005</v>
      </c>
      <c r="B2" s="10" t="s">
        <v>17</v>
      </c>
      <c r="C2" s="11">
        <v>51.401349</v>
      </c>
      <c r="D2" s="11">
        <v>77.970033</v>
      </c>
      <c r="E2" s="11">
        <v>5.250861</v>
      </c>
      <c r="F2" s="10">
        <v>4.44</v>
      </c>
      <c r="G2" s="10">
        <v>95.3699164333333</v>
      </c>
      <c r="H2" s="10">
        <v>1538</v>
      </c>
      <c r="I2" s="10">
        <v>1286</v>
      </c>
      <c r="J2" s="12">
        <v>0.836150845253576</v>
      </c>
      <c r="K2" s="10">
        <v>47182</v>
      </c>
      <c r="L2" s="10">
        <v>1.33388229647449</v>
      </c>
      <c r="M2" s="10">
        <v>0.772329295924362</v>
      </c>
      <c r="N2" s="10">
        <v>5522</v>
      </c>
      <c r="O2" s="10">
        <v>1907.4</v>
      </c>
      <c r="P2" s="10">
        <v>7149.8</v>
      </c>
      <c r="Q2" s="12">
        <v>0.266776693054351</v>
      </c>
    </row>
    <row r="3" spans="1:17">
      <c r="A3" s="10">
        <v>2005</v>
      </c>
      <c r="B3" s="10" t="s">
        <v>18</v>
      </c>
      <c r="C3" s="15">
        <v>69.693183</v>
      </c>
      <c r="D3" s="15">
        <v>3.418191</v>
      </c>
      <c r="E3" s="11">
        <v>0.331164</v>
      </c>
      <c r="F3" s="10">
        <v>1.57</v>
      </c>
      <c r="G3" s="10">
        <v>89.5915536066667</v>
      </c>
      <c r="H3" s="10">
        <v>1043</v>
      </c>
      <c r="I3" s="10">
        <v>783</v>
      </c>
      <c r="J3" s="12">
        <v>0.75071907957814</v>
      </c>
      <c r="K3" s="10">
        <v>30567</v>
      </c>
      <c r="L3" s="10">
        <v>2.83643239430972</v>
      </c>
      <c r="M3" s="10">
        <v>1.29329449756221</v>
      </c>
      <c r="N3" s="10">
        <v>4085</v>
      </c>
      <c r="O3" s="10">
        <v>1630.5</v>
      </c>
      <c r="P3" s="10">
        <v>3158.6</v>
      </c>
      <c r="Q3" s="12">
        <v>0.51620971316406</v>
      </c>
    </row>
    <row r="4" spans="1:17">
      <c r="A4" s="10">
        <v>2005</v>
      </c>
      <c r="B4" s="10" t="s">
        <v>19</v>
      </c>
      <c r="C4" s="15">
        <v>902.476953</v>
      </c>
      <c r="D4" s="15">
        <v>407.617605</v>
      </c>
      <c r="E4" s="11">
        <v>359.589798</v>
      </c>
      <c r="F4" s="10">
        <v>4.48</v>
      </c>
      <c r="G4" s="10">
        <v>408.92742134</v>
      </c>
      <c r="H4" s="10">
        <v>6851</v>
      </c>
      <c r="I4" s="10">
        <v>2582</v>
      </c>
      <c r="J4" s="12">
        <v>0.376879287695227</v>
      </c>
      <c r="K4" s="10">
        <v>12845</v>
      </c>
      <c r="L4" s="10">
        <v>4.66099142111382</v>
      </c>
      <c r="M4" s="10">
        <v>2.26092506895844</v>
      </c>
      <c r="N4" s="10">
        <v>19836</v>
      </c>
      <c r="O4" s="10">
        <v>4123.9</v>
      </c>
      <c r="P4" s="10">
        <v>8773.4</v>
      </c>
      <c r="Q4" s="12">
        <v>0.470045820320514</v>
      </c>
    </row>
    <row r="5" spans="1:17">
      <c r="A5" s="10">
        <v>2005</v>
      </c>
      <c r="B5" s="10" t="s">
        <v>20</v>
      </c>
      <c r="C5" s="15">
        <v>584.11332</v>
      </c>
      <c r="D5" s="15">
        <v>349.961202</v>
      </c>
      <c r="E5" s="11">
        <v>553.167423</v>
      </c>
      <c r="F5" s="10">
        <v>1.93</v>
      </c>
      <c r="G5" s="10">
        <v>296.470155413333</v>
      </c>
      <c r="H5" s="10">
        <v>3355</v>
      </c>
      <c r="I5" s="10">
        <v>1413</v>
      </c>
      <c r="J5" s="12">
        <v>0.421162444113264</v>
      </c>
      <c r="K5" s="10">
        <v>12195</v>
      </c>
      <c r="L5" s="10">
        <v>7.26749412691409</v>
      </c>
      <c r="M5" s="10">
        <v>3.12545962641565</v>
      </c>
      <c r="N5" s="10">
        <v>12750</v>
      </c>
      <c r="O5" s="10">
        <v>2389.5</v>
      </c>
      <c r="P5" s="10">
        <v>4079.4</v>
      </c>
      <c r="Q5" s="12">
        <v>0.585747904103545</v>
      </c>
    </row>
    <row r="6" spans="1:17">
      <c r="A6" s="10">
        <v>2005</v>
      </c>
      <c r="B6" s="10" t="s">
        <v>21</v>
      </c>
      <c r="C6" s="15">
        <v>1322.883054</v>
      </c>
      <c r="D6" s="15">
        <v>1759.379535</v>
      </c>
      <c r="E6" s="11">
        <v>5543.911188</v>
      </c>
      <c r="F6" s="10">
        <v>1.96</v>
      </c>
      <c r="G6" s="10">
        <v>246.567169633333</v>
      </c>
      <c r="H6" s="10">
        <v>2403</v>
      </c>
      <c r="I6" s="10">
        <v>1134</v>
      </c>
      <c r="J6" s="12">
        <v>0.471910112359551</v>
      </c>
      <c r="K6" s="10">
        <v>14695</v>
      </c>
      <c r="L6" s="10">
        <v>6.99739392210839</v>
      </c>
      <c r="M6" s="10">
        <v>2.74313931378948</v>
      </c>
      <c r="N6" s="10">
        <v>9666</v>
      </c>
      <c r="O6" s="10">
        <v>1377.8</v>
      </c>
      <c r="P6" s="10">
        <v>3523.7</v>
      </c>
      <c r="Q6" s="12">
        <v>0.391009450293725</v>
      </c>
    </row>
    <row r="7" spans="1:17">
      <c r="A7" s="10">
        <v>2005</v>
      </c>
      <c r="B7" s="10" t="s">
        <v>22</v>
      </c>
      <c r="C7" s="15">
        <v>724.51386</v>
      </c>
      <c r="D7" s="15">
        <v>509.409801</v>
      </c>
      <c r="E7" s="11">
        <v>82.493568</v>
      </c>
      <c r="F7" s="10">
        <v>7.46</v>
      </c>
      <c r="G7" s="10">
        <v>397.894439886667</v>
      </c>
      <c r="H7" s="10">
        <v>4221</v>
      </c>
      <c r="I7" s="10">
        <v>2478</v>
      </c>
      <c r="J7" s="12">
        <v>0.587064676616915</v>
      </c>
      <c r="K7" s="10">
        <v>17210</v>
      </c>
      <c r="L7" s="10">
        <v>5.48003580716542</v>
      </c>
      <c r="M7" s="10">
        <v>1.87458682238872</v>
      </c>
      <c r="N7" s="10">
        <v>13611</v>
      </c>
      <c r="O7" s="10">
        <v>3443.9</v>
      </c>
      <c r="P7" s="10">
        <v>7260.8</v>
      </c>
      <c r="Q7" s="12">
        <v>0.474314125165271</v>
      </c>
    </row>
    <row r="8" spans="1:17">
      <c r="A8" s="10">
        <v>2005</v>
      </c>
      <c r="B8" s="10" t="s">
        <v>23</v>
      </c>
      <c r="C8" s="15">
        <v>887.448123</v>
      </c>
      <c r="D8" s="15">
        <v>835.436772</v>
      </c>
      <c r="E8" s="11">
        <v>67.865616</v>
      </c>
      <c r="F8" s="10">
        <v>2.69</v>
      </c>
      <c r="G8" s="10">
        <v>146.851875386667</v>
      </c>
      <c r="H8" s="10">
        <v>2716</v>
      </c>
      <c r="I8" s="10">
        <v>1426</v>
      </c>
      <c r="J8" s="12">
        <v>0.525036818851252</v>
      </c>
      <c r="K8" s="10">
        <v>10237</v>
      </c>
      <c r="L8" s="10">
        <v>5.28910050015007</v>
      </c>
      <c r="M8" s="10">
        <v>1.91428056906177</v>
      </c>
      <c r="N8" s="10">
        <v>5315</v>
      </c>
      <c r="O8" s="10">
        <v>1002.4</v>
      </c>
      <c r="P8" s="10">
        <v>2776.5</v>
      </c>
      <c r="Q8" s="12">
        <v>0.361030073833964</v>
      </c>
    </row>
    <row r="9" spans="1:17">
      <c r="A9" s="10">
        <v>2005</v>
      </c>
      <c r="B9" s="10" t="s">
        <v>24</v>
      </c>
      <c r="C9" s="15">
        <v>1982.893401</v>
      </c>
      <c r="D9" s="15">
        <v>2273.54148</v>
      </c>
      <c r="E9" s="11">
        <v>93.435183</v>
      </c>
      <c r="F9" s="10">
        <v>5.14</v>
      </c>
      <c r="G9" s="10">
        <v>228.03843518</v>
      </c>
      <c r="H9" s="10">
        <v>3820</v>
      </c>
      <c r="I9" s="10">
        <v>2028</v>
      </c>
      <c r="J9" s="12">
        <v>0.530890052356021</v>
      </c>
      <c r="K9" s="10">
        <v>12456</v>
      </c>
      <c r="L9" s="10">
        <v>4.79434940669414</v>
      </c>
      <c r="M9" s="10">
        <v>1.69245647969052</v>
      </c>
      <c r="N9" s="10">
        <v>8050</v>
      </c>
      <c r="O9" s="10">
        <v>2656.4</v>
      </c>
      <c r="P9" s="10">
        <v>4756.4</v>
      </c>
      <c r="Q9" s="12">
        <v>0.558489613993777</v>
      </c>
    </row>
    <row r="10" spans="1:17">
      <c r="A10" s="10">
        <v>2005</v>
      </c>
      <c r="B10" s="10" t="s">
        <v>25</v>
      </c>
      <c r="C10" s="15">
        <v>47.445039</v>
      </c>
      <c r="D10" s="15">
        <v>0.061227</v>
      </c>
      <c r="E10" s="11">
        <v>0.018297</v>
      </c>
      <c r="F10" s="10">
        <v>2.87</v>
      </c>
      <c r="G10" s="10">
        <v>142.317162293333</v>
      </c>
      <c r="H10" s="10">
        <v>1890</v>
      </c>
      <c r="I10" s="10">
        <v>1684</v>
      </c>
      <c r="J10" s="12">
        <v>0.891005291005291</v>
      </c>
      <c r="K10" s="10">
        <v>49377</v>
      </c>
      <c r="L10" s="10">
        <v>1.54741344873203</v>
      </c>
      <c r="M10" s="10">
        <v>0.894303639190614</v>
      </c>
      <c r="N10" s="10">
        <v>8225</v>
      </c>
      <c r="O10" s="10">
        <v>4314.9</v>
      </c>
      <c r="P10" s="10">
        <v>9197.1</v>
      </c>
      <c r="Q10" s="12">
        <v>0.469158756564569</v>
      </c>
    </row>
    <row r="11" spans="1:17">
      <c r="A11" s="10">
        <v>2005</v>
      </c>
      <c r="B11" s="10" t="s">
        <v>26</v>
      </c>
      <c r="C11" s="11">
        <v>754.336305</v>
      </c>
      <c r="D11" s="11">
        <v>19.356246</v>
      </c>
      <c r="E11" s="11">
        <v>0.293697</v>
      </c>
      <c r="F11" s="10">
        <v>18.91</v>
      </c>
      <c r="G11" s="10">
        <v>386.714623506667</v>
      </c>
      <c r="H11" s="10">
        <v>7588</v>
      </c>
      <c r="I11" s="10">
        <v>3832</v>
      </c>
      <c r="J11" s="12">
        <v>0.505007907221929</v>
      </c>
      <c r="K11" s="10">
        <v>23984</v>
      </c>
      <c r="L11" s="10">
        <v>2.1340335599911</v>
      </c>
      <c r="M11" s="10">
        <v>0.947338215249458</v>
      </c>
      <c r="N11" s="10">
        <v>17167</v>
      </c>
      <c r="O11" s="10">
        <v>10234.1</v>
      </c>
      <c r="P11" s="10">
        <v>18121.3</v>
      </c>
      <c r="Q11" s="12">
        <v>0.564755287976028</v>
      </c>
    </row>
    <row r="12" spans="1:17">
      <c r="A12" s="10">
        <v>2005</v>
      </c>
      <c r="B12" s="10" t="s">
        <v>27</v>
      </c>
      <c r="C12" s="15">
        <v>249.44076</v>
      </c>
      <c r="D12" s="15">
        <v>697.270185</v>
      </c>
      <c r="E12" s="11">
        <v>0.249768</v>
      </c>
      <c r="F12" s="10">
        <v>5.69</v>
      </c>
      <c r="G12" s="10">
        <v>267.353722086667</v>
      </c>
      <c r="H12" s="10">
        <v>4991</v>
      </c>
      <c r="I12" s="10">
        <v>2796</v>
      </c>
      <c r="J12" s="12">
        <v>0.560208375075135</v>
      </c>
      <c r="K12" s="10">
        <v>26277</v>
      </c>
      <c r="L12" s="10">
        <v>2.05209982949937</v>
      </c>
      <c r="M12" s="10">
        <v>0.923528012096743</v>
      </c>
      <c r="N12" s="10">
        <v>12032</v>
      </c>
      <c r="O12" s="10">
        <v>6953.7</v>
      </c>
      <c r="P12" s="10">
        <v>13028.3</v>
      </c>
      <c r="Q12" s="12">
        <v>0.53373809322782</v>
      </c>
    </row>
    <row r="13" spans="1:17">
      <c r="A13" s="10">
        <v>2005</v>
      </c>
      <c r="B13" s="10" t="s">
        <v>28</v>
      </c>
      <c r="C13" s="11">
        <v>865.756935</v>
      </c>
      <c r="D13" s="11">
        <v>374.71419</v>
      </c>
      <c r="E13" s="11">
        <v>1.014903</v>
      </c>
      <c r="F13" s="10">
        <v>4.19</v>
      </c>
      <c r="G13" s="10">
        <v>171.642730193333</v>
      </c>
      <c r="H13" s="10">
        <v>6120</v>
      </c>
      <c r="I13" s="10">
        <v>2173</v>
      </c>
      <c r="J13" s="12">
        <v>0.355065359477124</v>
      </c>
      <c r="K13" s="10">
        <v>9193</v>
      </c>
      <c r="L13" s="10">
        <v>3.02406191429259</v>
      </c>
      <c r="M13" s="10">
        <v>1.14624993393118</v>
      </c>
      <c r="N13" s="10">
        <v>6506</v>
      </c>
      <c r="O13" s="10">
        <v>2197.4</v>
      </c>
      <c r="P13" s="10">
        <v>5675.9</v>
      </c>
      <c r="Q13" s="12">
        <v>0.387145650909988</v>
      </c>
    </row>
    <row r="14" spans="1:17">
      <c r="A14" s="10">
        <v>2005</v>
      </c>
      <c r="B14" s="10" t="s">
        <v>29</v>
      </c>
      <c r="C14" s="11">
        <v>146.575386</v>
      </c>
      <c r="D14" s="11">
        <v>1031.771268</v>
      </c>
      <c r="E14" s="11">
        <v>1.069092</v>
      </c>
      <c r="F14" s="10">
        <v>2.72</v>
      </c>
      <c r="G14" s="10">
        <v>99.3732343733333</v>
      </c>
      <c r="H14" s="10">
        <v>3557</v>
      </c>
      <c r="I14" s="10">
        <v>1757</v>
      </c>
      <c r="J14" s="12">
        <v>0.493955580545403</v>
      </c>
      <c r="K14" s="10">
        <v>18107</v>
      </c>
      <c r="L14" s="10">
        <v>1.54895541069805</v>
      </c>
      <c r="M14" s="10">
        <v>0.957368872262489</v>
      </c>
      <c r="N14" s="10">
        <v>6142</v>
      </c>
      <c r="O14" s="10">
        <v>3095.9</v>
      </c>
      <c r="P14" s="10">
        <v>6415.5</v>
      </c>
      <c r="Q14" s="12">
        <v>0.482565661289066</v>
      </c>
    </row>
    <row r="15" spans="1:17">
      <c r="A15" s="10">
        <v>2005</v>
      </c>
      <c r="B15" s="10" t="s">
        <v>30</v>
      </c>
      <c r="C15" s="11">
        <v>468.709353</v>
      </c>
      <c r="D15" s="11">
        <v>1101.730203</v>
      </c>
      <c r="E15" s="11">
        <v>2.072205</v>
      </c>
      <c r="F15" s="10">
        <v>2.52</v>
      </c>
      <c r="G15" s="10">
        <v>90.3200930666667</v>
      </c>
      <c r="H15" s="10">
        <v>4311</v>
      </c>
      <c r="I15" s="10">
        <v>1595</v>
      </c>
      <c r="J15" s="12">
        <v>0.369983762468105</v>
      </c>
      <c r="K15" s="10">
        <v>9172</v>
      </c>
      <c r="L15" s="10">
        <v>2.29169017219798</v>
      </c>
      <c r="M15" s="10">
        <v>1.08748604485943</v>
      </c>
      <c r="N15" s="10">
        <v>4286</v>
      </c>
      <c r="O15" s="10">
        <v>1834.7</v>
      </c>
      <c r="P15" s="10">
        <v>3941.2</v>
      </c>
      <c r="Q15" s="12">
        <v>0.465518116309753</v>
      </c>
    </row>
    <row r="16" spans="1:17">
      <c r="A16" s="10">
        <v>2005</v>
      </c>
      <c r="B16" s="10" t="s">
        <v>31</v>
      </c>
      <c r="C16" s="11">
        <v>1154.01357</v>
      </c>
      <c r="D16" s="11">
        <v>64.022337</v>
      </c>
      <c r="E16" s="11">
        <v>32.073354</v>
      </c>
      <c r="F16" s="10">
        <v>10.53</v>
      </c>
      <c r="G16" s="10">
        <v>661.8382439</v>
      </c>
      <c r="H16" s="10">
        <v>9248</v>
      </c>
      <c r="I16" s="10">
        <v>4162</v>
      </c>
      <c r="J16" s="12">
        <v>0.450043252595156</v>
      </c>
      <c r="K16" s="10">
        <v>17308</v>
      </c>
      <c r="L16" s="10">
        <v>4.15010656153002</v>
      </c>
      <c r="M16" s="10">
        <v>1.51509641009563</v>
      </c>
      <c r="N16" s="10">
        <v>24162</v>
      </c>
      <c r="O16" s="10">
        <v>8841.1</v>
      </c>
      <c r="P16" s="10">
        <v>15947.5</v>
      </c>
      <c r="Q16" s="12">
        <v>0.554387835083869</v>
      </c>
    </row>
    <row r="17" spans="1:17">
      <c r="A17" s="10">
        <v>2005</v>
      </c>
      <c r="B17" s="10" t="s">
        <v>32</v>
      </c>
      <c r="C17" s="11">
        <v>1151.287623</v>
      </c>
      <c r="D17" s="11">
        <v>279.659043</v>
      </c>
      <c r="E17" s="11">
        <v>28.020402</v>
      </c>
      <c r="F17" s="10">
        <v>4.3</v>
      </c>
      <c r="G17" s="10">
        <v>343.32938208</v>
      </c>
      <c r="H17" s="10">
        <v>9380</v>
      </c>
      <c r="I17" s="10">
        <v>2875</v>
      </c>
      <c r="J17" s="12">
        <v>0.306503198294243</v>
      </c>
      <c r="K17" s="10">
        <v>10978</v>
      </c>
      <c r="L17" s="10">
        <v>3.35168040298726</v>
      </c>
      <c r="M17" s="10">
        <v>1.42773466100454</v>
      </c>
      <c r="N17" s="10">
        <v>14625</v>
      </c>
      <c r="O17" s="10">
        <v>5202.3</v>
      </c>
      <c r="P17" s="10">
        <v>10243.5</v>
      </c>
      <c r="Q17" s="12">
        <v>0.50786352320984</v>
      </c>
    </row>
    <row r="18" spans="1:17">
      <c r="A18" s="10">
        <v>2005</v>
      </c>
      <c r="B18" s="10" t="s">
        <v>33</v>
      </c>
      <c r="C18" s="11">
        <v>831.203208</v>
      </c>
      <c r="D18" s="11">
        <v>906.454935</v>
      </c>
      <c r="E18" s="11">
        <v>5.667417</v>
      </c>
      <c r="F18" s="10">
        <v>5.62</v>
      </c>
      <c r="G18" s="10">
        <v>167.844904406667</v>
      </c>
      <c r="H18" s="10">
        <v>5710</v>
      </c>
      <c r="I18" s="10">
        <v>2467</v>
      </c>
      <c r="J18" s="12">
        <v>0.432049036777583</v>
      </c>
      <c r="K18" s="10">
        <v>11342</v>
      </c>
      <c r="L18" s="10">
        <v>2.59432283423755</v>
      </c>
      <c r="M18" s="10">
        <v>1.55834119047251</v>
      </c>
      <c r="N18" s="10">
        <v>10082</v>
      </c>
      <c r="O18" s="10">
        <v>2758.8</v>
      </c>
      <c r="P18" s="10">
        <v>6469.7</v>
      </c>
      <c r="Q18" s="12">
        <v>0.426418535635346</v>
      </c>
    </row>
    <row r="19" spans="1:17">
      <c r="A19" s="10">
        <v>2005</v>
      </c>
      <c r="B19" s="10" t="s">
        <v>34</v>
      </c>
      <c r="C19" s="11">
        <v>700.057035</v>
      </c>
      <c r="D19" s="11">
        <v>1340.270298</v>
      </c>
      <c r="E19" s="11">
        <v>0.641592</v>
      </c>
      <c r="F19" s="10">
        <v>4.07</v>
      </c>
      <c r="G19" s="10">
        <v>167.210718053333</v>
      </c>
      <c r="H19" s="10">
        <v>6326</v>
      </c>
      <c r="I19" s="10">
        <v>2341</v>
      </c>
      <c r="J19" s="12">
        <v>0.370060069554221</v>
      </c>
      <c r="K19" s="10">
        <v>10200</v>
      </c>
      <c r="L19" s="10">
        <v>2.62501323495398</v>
      </c>
      <c r="M19" s="10">
        <v>1.52419975195843</v>
      </c>
      <c r="N19" s="10">
        <v>9709</v>
      </c>
      <c r="O19" s="10">
        <v>2490.2</v>
      </c>
      <c r="P19" s="10">
        <v>6369.9</v>
      </c>
      <c r="Q19" s="12">
        <v>0.390932353726118</v>
      </c>
    </row>
    <row r="20" spans="1:17">
      <c r="A20" s="10">
        <v>2005</v>
      </c>
      <c r="B20" s="10" t="s">
        <v>35</v>
      </c>
      <c r="C20" s="11">
        <v>500.648229</v>
      </c>
      <c r="D20" s="11">
        <v>1131.834123</v>
      </c>
      <c r="E20" s="11">
        <v>3.028887</v>
      </c>
      <c r="F20" s="10">
        <v>33.3</v>
      </c>
      <c r="G20" s="10">
        <v>272.16552162</v>
      </c>
      <c r="H20" s="10">
        <v>9194</v>
      </c>
      <c r="I20" s="10">
        <v>5579</v>
      </c>
      <c r="J20" s="12">
        <v>0.606808788340222</v>
      </c>
      <c r="K20" s="10">
        <v>23997</v>
      </c>
      <c r="L20" s="10">
        <v>1.23920011665073</v>
      </c>
      <c r="M20" s="10">
        <v>0.815963210854619</v>
      </c>
      <c r="N20" s="10">
        <v>17921</v>
      </c>
      <c r="O20" s="10">
        <v>11049.2</v>
      </c>
      <c r="P20" s="10">
        <v>21963</v>
      </c>
      <c r="Q20" s="12">
        <v>0.503082456859263</v>
      </c>
    </row>
    <row r="21" spans="1:17">
      <c r="A21" s="10">
        <v>2005</v>
      </c>
      <c r="B21" s="10" t="s">
        <v>36</v>
      </c>
      <c r="C21" s="11">
        <v>636.950691</v>
      </c>
      <c r="D21" s="11">
        <v>1623.360663</v>
      </c>
      <c r="E21" s="11">
        <v>2.220813</v>
      </c>
      <c r="F21" s="10">
        <v>2.97</v>
      </c>
      <c r="G21" s="10">
        <v>70.5468617466667</v>
      </c>
      <c r="H21" s="10">
        <v>4660</v>
      </c>
      <c r="I21" s="10">
        <v>1567</v>
      </c>
      <c r="J21" s="12">
        <v>0.336266094420601</v>
      </c>
      <c r="K21" s="10">
        <v>8069</v>
      </c>
      <c r="L21" s="10">
        <v>1.88522117919528</v>
      </c>
      <c r="M21" s="10">
        <v>1.3011410705219</v>
      </c>
      <c r="N21" s="10">
        <v>4869</v>
      </c>
      <c r="O21" s="10">
        <v>1324.3</v>
      </c>
      <c r="P21" s="10">
        <v>3742.1</v>
      </c>
      <c r="Q21" s="12">
        <v>0.353892199567088</v>
      </c>
    </row>
    <row r="22" spans="1:17">
      <c r="A22" s="10">
        <v>2005</v>
      </c>
      <c r="B22" s="10" t="s">
        <v>37</v>
      </c>
      <c r="C22" s="11">
        <v>109.327761</v>
      </c>
      <c r="D22" s="11">
        <v>218.783655</v>
      </c>
      <c r="E22" s="11">
        <v>0.835128</v>
      </c>
      <c r="F22" s="10">
        <v>0.67</v>
      </c>
      <c r="G22" s="10">
        <v>7.55467255333333</v>
      </c>
      <c r="H22" s="10">
        <v>828</v>
      </c>
      <c r="I22" s="10">
        <v>374</v>
      </c>
      <c r="J22" s="12">
        <v>0.451690821256039</v>
      </c>
      <c r="K22" s="10">
        <v>10753</v>
      </c>
      <c r="L22" s="10">
        <v>0.853731783629035</v>
      </c>
      <c r="M22" s="10">
        <v>0.928918521866878</v>
      </c>
      <c r="N22" s="10">
        <v>822</v>
      </c>
      <c r="O22" s="10">
        <v>229.8</v>
      </c>
      <c r="P22" s="10">
        <v>884.9</v>
      </c>
      <c r="Q22" s="12">
        <v>0.259690360492711</v>
      </c>
    </row>
    <row r="23" spans="1:17">
      <c r="A23" s="10">
        <v>2005</v>
      </c>
      <c r="B23" s="10" t="s">
        <v>38</v>
      </c>
      <c r="C23" s="11">
        <v>379.155528</v>
      </c>
      <c r="D23" s="11">
        <v>417.625659</v>
      </c>
      <c r="E23" s="11">
        <v>1.120104</v>
      </c>
      <c r="F23" s="10">
        <v>1.59</v>
      </c>
      <c r="G23" s="10">
        <v>73.2754897</v>
      </c>
      <c r="H23" s="10">
        <v>2798</v>
      </c>
      <c r="I23" s="10">
        <v>1265</v>
      </c>
      <c r="J23" s="12">
        <v>0.452108649035025</v>
      </c>
      <c r="K23" s="10">
        <v>12335</v>
      </c>
      <c r="L23" s="10">
        <v>2.12491270444264</v>
      </c>
      <c r="M23" s="10">
        <v>1.43341839693771</v>
      </c>
      <c r="N23" s="10">
        <v>4943</v>
      </c>
      <c r="O23" s="10">
        <v>1559.2</v>
      </c>
      <c r="P23" s="10">
        <v>3448.4</v>
      </c>
      <c r="Q23" s="12">
        <v>0.452151722537989</v>
      </c>
    </row>
    <row r="24" spans="1:17">
      <c r="A24" s="10">
        <v>2005</v>
      </c>
      <c r="B24" s="10" t="s">
        <v>39</v>
      </c>
      <c r="C24" s="11">
        <v>1184.956659</v>
      </c>
      <c r="D24" s="11">
        <v>1885.284279</v>
      </c>
      <c r="E24" s="11">
        <v>1645.705233</v>
      </c>
      <c r="F24" s="10">
        <v>6.81</v>
      </c>
      <c r="G24" s="10">
        <v>159.38908744</v>
      </c>
      <c r="H24" s="10">
        <v>8212</v>
      </c>
      <c r="I24" s="10">
        <v>2710</v>
      </c>
      <c r="J24" s="12">
        <v>0.330004870920604</v>
      </c>
      <c r="K24" s="10">
        <v>8828</v>
      </c>
      <c r="L24" s="10">
        <v>2.21499864422796</v>
      </c>
      <c r="M24" s="10">
        <v>1.64204616517739</v>
      </c>
      <c r="N24" s="10">
        <v>11816</v>
      </c>
      <c r="O24" s="10">
        <v>2961.2</v>
      </c>
      <c r="P24" s="10">
        <v>7195.9</v>
      </c>
      <c r="Q24" s="12">
        <v>0.411512111063244</v>
      </c>
    </row>
    <row r="25" spans="1:17">
      <c r="A25" s="10">
        <v>2005</v>
      </c>
      <c r="B25" s="10" t="s">
        <v>40</v>
      </c>
      <c r="C25" s="11">
        <v>606.102345</v>
      </c>
      <c r="D25" s="11">
        <v>1029.220236</v>
      </c>
      <c r="E25" s="11">
        <v>34.846038</v>
      </c>
      <c r="F25" s="10">
        <v>2.8</v>
      </c>
      <c r="G25" s="10">
        <v>144.130337433333</v>
      </c>
      <c r="H25" s="10">
        <v>3730</v>
      </c>
      <c r="I25" s="10">
        <v>1002</v>
      </c>
      <c r="J25" s="12">
        <v>0.268632707774799</v>
      </c>
      <c r="K25" s="10">
        <v>5218</v>
      </c>
      <c r="L25" s="10">
        <v>7.42978181521384</v>
      </c>
      <c r="M25" s="10">
        <v>2.90788184957987</v>
      </c>
      <c r="N25" s="10">
        <v>5641</v>
      </c>
      <c r="O25" s="10">
        <v>797.9</v>
      </c>
      <c r="P25" s="10">
        <v>1939.9</v>
      </c>
      <c r="Q25" s="12">
        <v>0.411309861333058</v>
      </c>
    </row>
    <row r="26" spans="1:17">
      <c r="A26" s="10">
        <v>2005</v>
      </c>
      <c r="B26" s="10" t="s">
        <v>41</v>
      </c>
      <c r="C26" s="11">
        <v>815.40936</v>
      </c>
      <c r="D26" s="11">
        <v>2606.90175</v>
      </c>
      <c r="E26" s="11">
        <v>286.024374</v>
      </c>
      <c r="F26" s="10">
        <v>1.67</v>
      </c>
      <c r="G26" s="10">
        <v>124.559711486667</v>
      </c>
      <c r="H26" s="10">
        <v>4450</v>
      </c>
      <c r="I26" s="10">
        <v>1313</v>
      </c>
      <c r="J26" s="12">
        <v>0.295056179775281</v>
      </c>
      <c r="K26" s="10">
        <v>7890</v>
      </c>
      <c r="L26" s="10">
        <v>3.56118910960536</v>
      </c>
      <c r="M26" s="10">
        <v>1.72227463761901</v>
      </c>
      <c r="N26" s="10">
        <v>6024</v>
      </c>
      <c r="O26" s="10">
        <v>1387.3</v>
      </c>
      <c r="P26" s="10">
        <v>3497.7</v>
      </c>
      <c r="Q26" s="12">
        <v>0.396632072504789</v>
      </c>
    </row>
    <row r="27" spans="1:17">
      <c r="A27" s="10">
        <v>2005</v>
      </c>
      <c r="B27" s="10" t="s">
        <v>42</v>
      </c>
      <c r="C27" s="11">
        <v>582.603462</v>
      </c>
      <c r="D27" s="11">
        <v>854.191305</v>
      </c>
      <c r="E27" s="11">
        <v>555.708249</v>
      </c>
      <c r="F27" s="10">
        <v>1.5</v>
      </c>
      <c r="G27" s="10">
        <v>217.327741226667</v>
      </c>
      <c r="H27" s="10">
        <v>3690</v>
      </c>
      <c r="I27" s="10">
        <v>1374</v>
      </c>
      <c r="J27" s="12">
        <v>0.372357723577236</v>
      </c>
      <c r="K27" s="10">
        <v>10357</v>
      </c>
      <c r="L27" s="10">
        <v>5.69338104439554</v>
      </c>
      <c r="M27" s="10">
        <v>1.45944671486954</v>
      </c>
      <c r="N27" s="10">
        <v>5571</v>
      </c>
      <c r="O27" s="10">
        <v>1807.8</v>
      </c>
      <c r="P27" s="10">
        <v>3817.2</v>
      </c>
      <c r="Q27" s="12">
        <v>0.47359320968249</v>
      </c>
    </row>
    <row r="28" spans="1:17">
      <c r="A28" s="10">
        <v>2005</v>
      </c>
      <c r="B28" s="10" t="s">
        <v>43</v>
      </c>
      <c r="C28" s="11">
        <v>568.4067</v>
      </c>
      <c r="D28" s="11">
        <v>348.421491</v>
      </c>
      <c r="E28" s="11">
        <v>1508.326299</v>
      </c>
      <c r="F28" s="10">
        <v>1.15</v>
      </c>
      <c r="G28" s="10">
        <v>104.509631373333</v>
      </c>
      <c r="H28" s="10">
        <v>2545</v>
      </c>
      <c r="I28" s="10">
        <v>764</v>
      </c>
      <c r="J28" s="12">
        <v>0.300196463654224</v>
      </c>
      <c r="K28" s="10">
        <v>7332</v>
      </c>
      <c r="L28" s="10">
        <v>5.60493571668633</v>
      </c>
      <c r="M28" s="10">
        <v>2.34259358575566</v>
      </c>
      <c r="N28" s="10">
        <v>4368</v>
      </c>
      <c r="O28" s="10">
        <v>772.2</v>
      </c>
      <c r="P28" s="10">
        <v>1864.6</v>
      </c>
      <c r="Q28" s="12">
        <v>0.414137080338947</v>
      </c>
    </row>
    <row r="29" spans="1:17">
      <c r="A29" s="10">
        <v>2005</v>
      </c>
      <c r="B29" s="10" t="s">
        <v>44</v>
      </c>
      <c r="C29" s="11">
        <v>63.633933</v>
      </c>
      <c r="D29" s="11">
        <v>58.832811</v>
      </c>
      <c r="E29" s="11">
        <v>4585.854384</v>
      </c>
      <c r="F29" s="10">
        <v>0.24</v>
      </c>
      <c r="G29" s="10">
        <v>21.1202907533333</v>
      </c>
      <c r="H29" s="10">
        <v>543</v>
      </c>
      <c r="I29" s="10">
        <v>213</v>
      </c>
      <c r="J29" s="12">
        <v>0.392265193370166</v>
      </c>
      <c r="K29" s="10">
        <v>9233</v>
      </c>
      <c r="L29" s="10">
        <v>4.22913311039915</v>
      </c>
      <c r="M29" s="10">
        <v>3.34401281537845</v>
      </c>
      <c r="N29" s="10">
        <v>1670</v>
      </c>
      <c r="O29" s="10">
        <v>190.3</v>
      </c>
      <c r="P29" s="10">
        <v>499.4</v>
      </c>
      <c r="Q29" s="12">
        <v>0.381057268722467</v>
      </c>
    </row>
    <row r="30" spans="1:17">
      <c r="A30" s="10">
        <v>2005</v>
      </c>
      <c r="B30" s="10" t="s">
        <v>45</v>
      </c>
      <c r="C30" s="11">
        <v>127.072161</v>
      </c>
      <c r="D30" s="11">
        <v>6.645897</v>
      </c>
      <c r="E30" s="11">
        <v>356.419917</v>
      </c>
      <c r="F30" s="10">
        <v>0.77</v>
      </c>
      <c r="G30" s="10">
        <v>74.0312362133333</v>
      </c>
      <c r="H30" s="10">
        <v>596</v>
      </c>
      <c r="I30" s="10">
        <v>252</v>
      </c>
      <c r="J30" s="12">
        <v>0.422818791946309</v>
      </c>
      <c r="K30" s="10">
        <v>9796</v>
      </c>
      <c r="L30" s="10">
        <v>12.7662073139047</v>
      </c>
      <c r="M30" s="10">
        <v>4.37316778754958</v>
      </c>
      <c r="N30" s="10">
        <v>2536</v>
      </c>
      <c r="O30" s="10">
        <v>259.8</v>
      </c>
      <c r="P30" s="10">
        <v>579.9</v>
      </c>
      <c r="Q30" s="12">
        <v>0.448008277289188</v>
      </c>
    </row>
    <row r="31" spans="1:17">
      <c r="A31" s="10">
        <v>2005</v>
      </c>
      <c r="B31" s="10" t="s">
        <v>46</v>
      </c>
      <c r="C31" s="11">
        <v>661.593339</v>
      </c>
      <c r="D31" s="11">
        <v>162.377667</v>
      </c>
      <c r="E31" s="11">
        <v>3910.925592</v>
      </c>
      <c r="F31" s="10">
        <v>2.25</v>
      </c>
      <c r="G31" s="10">
        <v>132.443246786667</v>
      </c>
      <c r="H31" s="10">
        <v>2010</v>
      </c>
      <c r="I31" s="10">
        <v>747</v>
      </c>
      <c r="J31" s="12">
        <v>0.371641791044776</v>
      </c>
      <c r="K31" s="10">
        <v>12687</v>
      </c>
      <c r="L31" s="10">
        <v>5.25464180863585</v>
      </c>
      <c r="M31" s="10">
        <v>2.18448720491966</v>
      </c>
      <c r="N31" s="10">
        <v>5506</v>
      </c>
      <c r="O31" s="10">
        <v>1127.1</v>
      </c>
      <c r="P31" s="10">
        <v>2520.5</v>
      </c>
      <c r="Q31" s="12">
        <v>0.447173179924618</v>
      </c>
    </row>
    <row r="32" spans="1:17">
      <c r="A32" s="10">
        <v>2006</v>
      </c>
      <c r="B32" s="10" t="s">
        <v>17</v>
      </c>
      <c r="C32" s="11">
        <v>50.699475</v>
      </c>
      <c r="D32" s="11">
        <v>77.975352</v>
      </c>
      <c r="E32" s="11">
        <v>5.319576</v>
      </c>
      <c r="F32" s="10">
        <v>5.32</v>
      </c>
      <c r="G32" s="10">
        <v>81.2756175466667</v>
      </c>
      <c r="H32" s="10">
        <v>1601</v>
      </c>
      <c r="I32" s="10">
        <v>1350</v>
      </c>
      <c r="J32" s="12">
        <v>0.843222985633979</v>
      </c>
      <c r="K32" s="10">
        <v>53438</v>
      </c>
      <c r="L32" s="10">
        <v>0.969066621517428</v>
      </c>
      <c r="M32" s="10">
        <v>0.703946583999046</v>
      </c>
      <c r="N32" s="10">
        <v>5904</v>
      </c>
      <c r="O32" s="10">
        <v>2072.1</v>
      </c>
      <c r="P32" s="10">
        <v>8387</v>
      </c>
      <c r="Q32" s="12">
        <v>0.247060927626088</v>
      </c>
    </row>
    <row r="33" spans="1:17">
      <c r="A33" s="10">
        <v>2006</v>
      </c>
      <c r="B33" s="10" t="s">
        <v>18</v>
      </c>
      <c r="C33" s="11">
        <v>69.214977</v>
      </c>
      <c r="D33" s="11">
        <v>3.411954</v>
      </c>
      <c r="E33" s="11">
        <v>0.333855</v>
      </c>
      <c r="F33" s="10">
        <v>1.57</v>
      </c>
      <c r="G33" s="10">
        <v>90.4055188133333</v>
      </c>
      <c r="H33" s="10">
        <v>1075</v>
      </c>
      <c r="I33" s="10">
        <v>814</v>
      </c>
      <c r="J33" s="12">
        <v>0.757209302325581</v>
      </c>
      <c r="K33" s="10">
        <v>33411</v>
      </c>
      <c r="L33" s="10">
        <v>2.55512743240442</v>
      </c>
      <c r="M33" s="10">
        <v>1.27183313549262</v>
      </c>
      <c r="N33" s="10">
        <v>4500</v>
      </c>
      <c r="O33" s="10">
        <v>1834.5</v>
      </c>
      <c r="P33" s="10">
        <v>3538.2</v>
      </c>
      <c r="Q33" s="12">
        <v>0.518483974902493</v>
      </c>
    </row>
    <row r="34" spans="1:17">
      <c r="A34" s="10">
        <v>2006</v>
      </c>
      <c r="B34" s="10" t="s">
        <v>19</v>
      </c>
      <c r="C34" s="11">
        <v>895.185828</v>
      </c>
      <c r="D34" s="11">
        <v>411.031602</v>
      </c>
      <c r="E34" s="11">
        <v>361.151892</v>
      </c>
      <c r="F34" s="10">
        <v>4.73</v>
      </c>
      <c r="G34" s="10">
        <v>409.107346396667</v>
      </c>
      <c r="H34" s="10">
        <v>6898</v>
      </c>
      <c r="I34" s="10">
        <v>2674</v>
      </c>
      <c r="J34" s="12">
        <v>0.387648593795303</v>
      </c>
      <c r="K34" s="10">
        <v>14609</v>
      </c>
      <c r="L34" s="10">
        <v>4.07355716814365</v>
      </c>
      <c r="M34" s="10">
        <v>2.17006870457035</v>
      </c>
      <c r="N34" s="10">
        <v>21794</v>
      </c>
      <c r="O34" s="10">
        <v>4771.9</v>
      </c>
      <c r="P34" s="10">
        <v>10043</v>
      </c>
      <c r="Q34" s="12">
        <v>0.475146868465598</v>
      </c>
    </row>
    <row r="35" spans="1:17">
      <c r="A35" s="10">
        <v>2006</v>
      </c>
      <c r="B35" s="10" t="s">
        <v>20</v>
      </c>
      <c r="C35" s="11">
        <v>573.93036</v>
      </c>
      <c r="D35" s="11">
        <v>354.441951</v>
      </c>
      <c r="E35" s="11">
        <v>557.439525</v>
      </c>
      <c r="F35" s="10">
        <v>2.03</v>
      </c>
      <c r="G35" s="10">
        <v>313.86090118</v>
      </c>
      <c r="H35" s="10">
        <v>3375</v>
      </c>
      <c r="I35" s="10">
        <v>1451</v>
      </c>
      <c r="J35" s="12">
        <v>0.429925925925926</v>
      </c>
      <c r="K35" s="10">
        <v>14008</v>
      </c>
      <c r="L35" s="10">
        <v>6.65862400670401</v>
      </c>
      <c r="M35" s="10">
        <v>2.99091989137814</v>
      </c>
      <c r="N35" s="10">
        <v>14098</v>
      </c>
      <c r="O35" s="10">
        <v>2799.3</v>
      </c>
      <c r="P35" s="10">
        <v>4713.6</v>
      </c>
      <c r="Q35" s="12">
        <v>0.593877291242363</v>
      </c>
    </row>
    <row r="36" spans="1:17">
      <c r="A36" s="10">
        <v>2006</v>
      </c>
      <c r="B36" s="10" t="s">
        <v>21</v>
      </c>
      <c r="C36" s="11">
        <v>1310.703471</v>
      </c>
      <c r="D36" s="11">
        <v>1759.475142</v>
      </c>
      <c r="E36" s="11">
        <v>5567.504031</v>
      </c>
      <c r="F36" s="10">
        <v>2.12</v>
      </c>
      <c r="G36" s="10">
        <v>277.98126238</v>
      </c>
      <c r="H36" s="10">
        <v>2415</v>
      </c>
      <c r="I36" s="10">
        <v>1175</v>
      </c>
      <c r="J36" s="12">
        <v>0.486542443064182</v>
      </c>
      <c r="K36" s="10">
        <v>17275</v>
      </c>
      <c r="L36" s="10">
        <v>6.67935177999904</v>
      </c>
      <c r="M36" s="10">
        <v>2.69618914892595</v>
      </c>
      <c r="N36" s="10">
        <v>11221</v>
      </c>
      <c r="O36" s="10">
        <v>1722.4</v>
      </c>
      <c r="P36" s="10">
        <v>4161.8</v>
      </c>
      <c r="Q36" s="12">
        <v>0.413859387764909</v>
      </c>
    </row>
    <row r="37" spans="1:17">
      <c r="A37" s="10">
        <v>2006</v>
      </c>
      <c r="B37" s="10" t="s">
        <v>22</v>
      </c>
      <c r="C37" s="11">
        <v>722.526687</v>
      </c>
      <c r="D37" s="11">
        <v>511.54893</v>
      </c>
      <c r="E37" s="11">
        <v>80.036226</v>
      </c>
      <c r="F37" s="10">
        <v>6.35</v>
      </c>
      <c r="G37" s="10">
        <v>417.337460166667</v>
      </c>
      <c r="H37" s="10">
        <v>4271</v>
      </c>
      <c r="I37" s="10">
        <v>2519</v>
      </c>
      <c r="J37" s="12">
        <v>0.589791617888082</v>
      </c>
      <c r="K37" s="10">
        <v>19760</v>
      </c>
      <c r="L37" s="10">
        <v>4.97404693713773</v>
      </c>
      <c r="M37" s="10">
        <v>1.78622933625734</v>
      </c>
      <c r="N37" s="10">
        <v>14987</v>
      </c>
      <c r="O37" s="10">
        <v>4060.7</v>
      </c>
      <c r="P37" s="10">
        <v>8390.3</v>
      </c>
      <c r="Q37" s="12">
        <v>0.483975543186775</v>
      </c>
    </row>
    <row r="38" spans="1:17">
      <c r="A38" s="10">
        <v>2006</v>
      </c>
      <c r="B38" s="10" t="s">
        <v>23</v>
      </c>
      <c r="C38" s="11">
        <v>885.673935</v>
      </c>
      <c r="D38" s="11">
        <v>835.174323</v>
      </c>
      <c r="E38" s="11">
        <v>67.055787</v>
      </c>
      <c r="F38" s="10">
        <v>2.73</v>
      </c>
      <c r="G38" s="10">
        <v>164.06577424</v>
      </c>
      <c r="H38" s="10">
        <v>2723</v>
      </c>
      <c r="I38" s="10">
        <v>1442</v>
      </c>
      <c r="J38" s="12">
        <v>0.529562982005141</v>
      </c>
      <c r="K38" s="10">
        <v>11864</v>
      </c>
      <c r="L38" s="10">
        <v>5.08494573810631</v>
      </c>
      <c r="M38" s="10">
        <v>1.83108631644197</v>
      </c>
      <c r="N38" s="10">
        <v>5908</v>
      </c>
      <c r="O38" s="10">
        <v>1097.2</v>
      </c>
      <c r="P38" s="10">
        <v>3226.5</v>
      </c>
      <c r="Q38" s="12">
        <v>0.340058887339222</v>
      </c>
    </row>
    <row r="39" spans="1:17">
      <c r="A39" s="10">
        <v>2006</v>
      </c>
      <c r="B39" s="10" t="s">
        <v>24</v>
      </c>
      <c r="C39" s="11">
        <v>1981.486215</v>
      </c>
      <c r="D39" s="11">
        <v>2273.345784</v>
      </c>
      <c r="E39" s="11">
        <v>92.990007</v>
      </c>
      <c r="F39" s="10">
        <v>3.68</v>
      </c>
      <c r="G39" s="10">
        <v>231.43816134</v>
      </c>
      <c r="H39" s="10">
        <v>3823</v>
      </c>
      <c r="I39" s="10">
        <v>2045</v>
      </c>
      <c r="J39" s="12">
        <v>0.534920219722731</v>
      </c>
      <c r="K39" s="10">
        <v>13947</v>
      </c>
      <c r="L39" s="10">
        <v>4.34234232691658</v>
      </c>
      <c r="M39" s="10">
        <v>1.63814777289955</v>
      </c>
      <c r="N39" s="10">
        <v>8731</v>
      </c>
      <c r="O39" s="10">
        <v>2998</v>
      </c>
      <c r="P39" s="10">
        <v>5329.8</v>
      </c>
      <c r="Q39" s="12">
        <v>0.562497654696236</v>
      </c>
    </row>
    <row r="40" spans="1:17">
      <c r="A40" s="10">
        <v>2006</v>
      </c>
      <c r="B40" s="10" t="s">
        <v>25</v>
      </c>
      <c r="C40" s="11">
        <v>46.750104</v>
      </c>
      <c r="D40" s="11">
        <v>0.057744</v>
      </c>
      <c r="E40" s="11">
        <v>0.023103</v>
      </c>
      <c r="F40" s="10">
        <v>3.06</v>
      </c>
      <c r="G40" s="10">
        <v>138.352341646667</v>
      </c>
      <c r="H40" s="10">
        <v>1964</v>
      </c>
      <c r="I40" s="10">
        <v>1742</v>
      </c>
      <c r="J40" s="12">
        <v>0.886965376782077</v>
      </c>
      <c r="K40" s="10">
        <v>54996</v>
      </c>
      <c r="L40" s="10">
        <v>1.30534623070948</v>
      </c>
      <c r="M40" s="10">
        <v>0.837445395276868</v>
      </c>
      <c r="N40" s="10">
        <v>8876</v>
      </c>
      <c r="O40" s="10">
        <v>4929.2</v>
      </c>
      <c r="P40" s="10">
        <v>10598.9</v>
      </c>
      <c r="Q40" s="12">
        <v>0.46506712960779</v>
      </c>
    </row>
    <row r="41" spans="1:17">
      <c r="A41" s="10">
        <v>2006</v>
      </c>
      <c r="B41" s="10" t="s">
        <v>26</v>
      </c>
      <c r="C41" s="11">
        <v>750.840741</v>
      </c>
      <c r="D41" s="11">
        <v>19.228167</v>
      </c>
      <c r="E41" s="11">
        <v>0.286047</v>
      </c>
      <c r="F41" s="10">
        <v>15.29</v>
      </c>
      <c r="G41" s="10">
        <v>419.502770986667</v>
      </c>
      <c r="H41" s="10">
        <v>7656</v>
      </c>
      <c r="I41" s="10">
        <v>3973</v>
      </c>
      <c r="J41" s="12">
        <v>0.518939393939394</v>
      </c>
      <c r="K41" s="10">
        <v>27868</v>
      </c>
      <c r="L41" s="10">
        <v>1.97498573964571</v>
      </c>
      <c r="M41" s="10">
        <v>0.896435162517419</v>
      </c>
      <c r="N41" s="10">
        <v>19041</v>
      </c>
      <c r="O41" s="10">
        <v>11991.1</v>
      </c>
      <c r="P41" s="10">
        <v>21240.8</v>
      </c>
      <c r="Q41" s="12">
        <v>0.564531467741328</v>
      </c>
    </row>
    <row r="42" spans="1:17">
      <c r="A42" s="10">
        <v>2006</v>
      </c>
      <c r="B42" s="10" t="s">
        <v>27</v>
      </c>
      <c r="C42" s="11">
        <v>246.700503</v>
      </c>
      <c r="D42" s="11">
        <v>697.065912</v>
      </c>
      <c r="E42" s="11">
        <v>0.272889</v>
      </c>
      <c r="F42" s="10">
        <v>5.78</v>
      </c>
      <c r="G42" s="10">
        <v>302.179442773333</v>
      </c>
      <c r="H42" s="10">
        <v>5072</v>
      </c>
      <c r="I42" s="10">
        <v>2866</v>
      </c>
      <c r="J42" s="12">
        <v>0.56506309148265</v>
      </c>
      <c r="K42" s="10">
        <v>30415</v>
      </c>
      <c r="L42" s="10">
        <v>1.97468056469338</v>
      </c>
      <c r="M42" s="10">
        <v>0.863834486724565</v>
      </c>
      <c r="N42" s="10">
        <v>13219</v>
      </c>
      <c r="O42" s="10">
        <v>8295.7</v>
      </c>
      <c r="P42" s="10">
        <v>15302.7</v>
      </c>
      <c r="Q42" s="12">
        <v>0.542106948447006</v>
      </c>
    </row>
    <row r="43" spans="1:17">
      <c r="A43" s="10">
        <v>2006</v>
      </c>
      <c r="B43" s="10" t="s">
        <v>28</v>
      </c>
      <c r="C43" s="11">
        <v>862.904853</v>
      </c>
      <c r="D43" s="11">
        <v>376.352163</v>
      </c>
      <c r="E43" s="11">
        <v>0.855054</v>
      </c>
      <c r="F43" s="10">
        <v>6.3</v>
      </c>
      <c r="G43" s="10">
        <v>188.559541753333</v>
      </c>
      <c r="H43" s="10">
        <v>6110</v>
      </c>
      <c r="I43" s="10">
        <v>2267</v>
      </c>
      <c r="J43" s="12">
        <v>0.371031096563011</v>
      </c>
      <c r="K43" s="10">
        <v>10630</v>
      </c>
      <c r="L43" s="10">
        <v>2.90078214472153</v>
      </c>
      <c r="M43" s="10">
        <v>1.08748826977216</v>
      </c>
      <c r="N43" s="10">
        <v>7069</v>
      </c>
      <c r="O43" s="10">
        <v>2653.2</v>
      </c>
      <c r="P43" s="10">
        <v>6500.3</v>
      </c>
      <c r="Q43" s="12">
        <v>0.40816577696414</v>
      </c>
    </row>
    <row r="44" spans="1:17">
      <c r="A44" s="10">
        <v>2006</v>
      </c>
      <c r="B44" s="10" t="s">
        <v>29</v>
      </c>
      <c r="C44" s="11">
        <v>144.936441</v>
      </c>
      <c r="D44" s="11">
        <v>1032.428673</v>
      </c>
      <c r="E44" s="11">
        <v>1.063269</v>
      </c>
      <c r="F44" s="10">
        <v>2.63</v>
      </c>
      <c r="G44" s="10">
        <v>112.574825566667</v>
      </c>
      <c r="H44" s="10">
        <v>3585</v>
      </c>
      <c r="I44" s="10">
        <v>1807</v>
      </c>
      <c r="J44" s="12">
        <v>0.504044630404463</v>
      </c>
      <c r="K44" s="10">
        <v>20915</v>
      </c>
      <c r="L44" s="10">
        <v>1.50730827151898</v>
      </c>
      <c r="M44" s="10">
        <v>0.914227566076641</v>
      </c>
      <c r="N44" s="10">
        <v>6828</v>
      </c>
      <c r="O44" s="10">
        <v>3629.7</v>
      </c>
      <c r="P44" s="10">
        <v>7468.6</v>
      </c>
      <c r="Q44" s="12">
        <v>0.485994697801462</v>
      </c>
    </row>
    <row r="45" spans="1:17">
      <c r="A45" s="10">
        <v>2006</v>
      </c>
      <c r="B45" s="10" t="s">
        <v>30</v>
      </c>
      <c r="C45" s="11">
        <v>462.606642</v>
      </c>
      <c r="D45" s="11">
        <v>1107.427878</v>
      </c>
      <c r="E45" s="11">
        <v>1.914471</v>
      </c>
      <c r="F45" s="10">
        <v>2.45</v>
      </c>
      <c r="G45" s="10">
        <v>101.180287053333</v>
      </c>
      <c r="H45" s="10">
        <v>4339</v>
      </c>
      <c r="I45" s="10">
        <v>1678</v>
      </c>
      <c r="J45" s="12">
        <v>0.386725051855266</v>
      </c>
      <c r="K45" s="10">
        <v>10859</v>
      </c>
      <c r="L45" s="10">
        <v>2.15423878073014</v>
      </c>
      <c r="M45" s="10">
        <v>0.992164878214955</v>
      </c>
      <c r="N45" s="10">
        <v>4660</v>
      </c>
      <c r="O45" s="10">
        <v>2337.6</v>
      </c>
      <c r="P45" s="10">
        <v>4696.8</v>
      </c>
      <c r="Q45" s="12">
        <v>0.497700562084824</v>
      </c>
    </row>
    <row r="46" spans="1:17">
      <c r="A46" s="10">
        <v>2006</v>
      </c>
      <c r="B46" s="10" t="s">
        <v>31</v>
      </c>
      <c r="C46" s="11">
        <v>1146.980187</v>
      </c>
      <c r="D46" s="11">
        <v>65.012139</v>
      </c>
      <c r="E46" s="11">
        <v>32.105097</v>
      </c>
      <c r="F46" s="10">
        <v>10.93</v>
      </c>
      <c r="G46" s="10">
        <v>745.573174098333</v>
      </c>
      <c r="H46" s="10">
        <v>9309</v>
      </c>
      <c r="I46" s="10">
        <v>4291</v>
      </c>
      <c r="J46" s="12">
        <v>0.460951767107101</v>
      </c>
      <c r="K46" s="10">
        <v>20443</v>
      </c>
      <c r="L46" s="10">
        <v>3.93073089181841</v>
      </c>
      <c r="M46" s="10">
        <v>1.4107592867913</v>
      </c>
      <c r="N46" s="10">
        <v>26759</v>
      </c>
      <c r="O46" s="10">
        <v>10568.5</v>
      </c>
      <c r="P46" s="10">
        <v>18967.8</v>
      </c>
      <c r="Q46" s="12">
        <v>0.55718111747277</v>
      </c>
    </row>
    <row r="47" spans="1:17">
      <c r="A47" s="10">
        <v>2006</v>
      </c>
      <c r="B47" s="10" t="s">
        <v>32</v>
      </c>
      <c r="C47" s="11">
        <v>1147.948011</v>
      </c>
      <c r="D47" s="11">
        <v>280.462122</v>
      </c>
      <c r="E47" s="11">
        <v>26.555823</v>
      </c>
      <c r="F47" s="10">
        <v>4.71</v>
      </c>
      <c r="G47" s="10">
        <v>352.47168086</v>
      </c>
      <c r="H47" s="10">
        <v>9392</v>
      </c>
      <c r="I47" s="10">
        <v>3050</v>
      </c>
      <c r="J47" s="12">
        <v>0.324744463373083</v>
      </c>
      <c r="K47" s="10">
        <v>12761</v>
      </c>
      <c r="L47" s="10">
        <v>2.94268344918558</v>
      </c>
      <c r="M47" s="10">
        <v>1.35516242413111</v>
      </c>
      <c r="N47" s="10">
        <v>16232</v>
      </c>
      <c r="O47" s="10">
        <v>6316.2</v>
      </c>
      <c r="P47" s="10">
        <v>11977.9</v>
      </c>
      <c r="Q47" s="12">
        <v>0.527321149784186</v>
      </c>
    </row>
    <row r="48" spans="1:17">
      <c r="A48" s="10">
        <v>2006</v>
      </c>
      <c r="B48" s="10" t="s">
        <v>33</v>
      </c>
      <c r="C48" s="11">
        <v>833.554431</v>
      </c>
      <c r="D48" s="11">
        <v>903.941757</v>
      </c>
      <c r="E48" s="11">
        <v>5.189814</v>
      </c>
      <c r="F48" s="10">
        <v>4.16</v>
      </c>
      <c r="G48" s="10">
        <v>199.679091366667</v>
      </c>
      <c r="H48" s="10">
        <v>5693</v>
      </c>
      <c r="I48" s="10">
        <v>2494</v>
      </c>
      <c r="J48" s="12">
        <v>0.438081854909538</v>
      </c>
      <c r="K48" s="10">
        <v>13210</v>
      </c>
      <c r="L48" s="10">
        <v>2.65114702151765</v>
      </c>
      <c r="M48" s="10">
        <v>1.46698000477973</v>
      </c>
      <c r="N48" s="10">
        <v>11049</v>
      </c>
      <c r="O48" s="10">
        <v>3270.8</v>
      </c>
      <c r="P48" s="10">
        <v>7531.8</v>
      </c>
      <c r="Q48" s="12">
        <v>0.434265381449322</v>
      </c>
    </row>
    <row r="49" spans="1:17">
      <c r="A49" s="10">
        <v>2006</v>
      </c>
      <c r="B49" s="10" t="s">
        <v>34</v>
      </c>
      <c r="C49" s="11">
        <v>704.994768</v>
      </c>
      <c r="D49" s="11">
        <v>1335.631887</v>
      </c>
      <c r="E49" s="11">
        <v>0.611316</v>
      </c>
      <c r="F49" s="10">
        <v>3.53</v>
      </c>
      <c r="G49" s="10">
        <v>184.853405213333</v>
      </c>
      <c r="H49" s="10">
        <v>6342</v>
      </c>
      <c r="I49" s="10">
        <v>2455</v>
      </c>
      <c r="J49" s="12">
        <v>0.387101860611794</v>
      </c>
      <c r="K49" s="10">
        <v>11733</v>
      </c>
      <c r="L49" s="10">
        <v>2.48739713134901</v>
      </c>
      <c r="M49" s="10">
        <v>1.42378491845632</v>
      </c>
      <c r="N49" s="10">
        <v>10581</v>
      </c>
      <c r="O49" s="10">
        <v>3030.7</v>
      </c>
      <c r="P49" s="10">
        <v>7431.6</v>
      </c>
      <c r="Q49" s="12">
        <v>0.407812584100328</v>
      </c>
    </row>
    <row r="50" spans="1:17">
      <c r="A50" s="10">
        <v>2006</v>
      </c>
      <c r="B50" s="10" t="s">
        <v>35</v>
      </c>
      <c r="C50" s="11">
        <v>484.726329</v>
      </c>
      <c r="D50" s="11">
        <v>1143.76014</v>
      </c>
      <c r="E50" s="11">
        <v>3.001473</v>
      </c>
      <c r="F50" s="10">
        <v>21.85</v>
      </c>
      <c r="G50" s="10">
        <v>310.278741453333</v>
      </c>
      <c r="H50" s="10">
        <v>9442</v>
      </c>
      <c r="I50" s="10">
        <v>5949</v>
      </c>
      <c r="J50" s="12">
        <v>0.630057191273035</v>
      </c>
      <c r="K50" s="10">
        <v>27861</v>
      </c>
      <c r="L50" s="10">
        <v>1.19516332624583</v>
      </c>
      <c r="M50" s="10">
        <v>0.769263362248278</v>
      </c>
      <c r="N50" s="10">
        <v>19971</v>
      </c>
      <c r="O50" s="10">
        <v>13158</v>
      </c>
      <c r="P50" s="10">
        <v>25961.2</v>
      </c>
      <c r="Q50" s="12">
        <v>0.506833274270835</v>
      </c>
    </row>
    <row r="51" spans="1:17">
      <c r="A51" s="10">
        <v>2006</v>
      </c>
      <c r="B51" s="10" t="s">
        <v>36</v>
      </c>
      <c r="C51" s="11">
        <v>625.597425</v>
      </c>
      <c r="D51" s="11">
        <v>1633.344525</v>
      </c>
      <c r="E51" s="11">
        <v>2.142072</v>
      </c>
      <c r="F51" s="10">
        <v>5.13</v>
      </c>
      <c r="G51" s="10">
        <v>80.9707990066667</v>
      </c>
      <c r="H51" s="10">
        <v>4719</v>
      </c>
      <c r="I51" s="10">
        <v>1635</v>
      </c>
      <c r="J51" s="12">
        <v>0.346471710108074</v>
      </c>
      <c r="K51" s="10">
        <v>9421</v>
      </c>
      <c r="L51" s="10">
        <v>1.83283079828572</v>
      </c>
      <c r="M51" s="10">
        <v>1.22006428539092</v>
      </c>
      <c r="N51" s="10">
        <v>5390</v>
      </c>
      <c r="O51" s="10">
        <v>1604.7</v>
      </c>
      <c r="P51" s="10">
        <v>4417.8</v>
      </c>
      <c r="Q51" s="12">
        <v>0.363235094390873</v>
      </c>
    </row>
    <row r="52" spans="1:17">
      <c r="A52" s="10">
        <v>2006</v>
      </c>
      <c r="B52" s="10" t="s">
        <v>37</v>
      </c>
      <c r="C52" s="11">
        <v>106.450497</v>
      </c>
      <c r="D52" s="11">
        <v>221.578947</v>
      </c>
      <c r="E52" s="11">
        <v>0.782325</v>
      </c>
      <c r="F52" s="10">
        <v>0.67</v>
      </c>
      <c r="G52" s="10">
        <v>14.6108516133333</v>
      </c>
      <c r="H52" s="10">
        <v>836</v>
      </c>
      <c r="I52" s="10">
        <v>385</v>
      </c>
      <c r="J52" s="12">
        <v>0.460526315789474</v>
      </c>
      <c r="K52" s="10">
        <v>12350</v>
      </c>
      <c r="L52" s="10">
        <v>1.42198069229521</v>
      </c>
      <c r="M52" s="10">
        <v>0.895377128953771</v>
      </c>
      <c r="N52" s="10">
        <v>920</v>
      </c>
      <c r="O52" s="10">
        <v>291.6</v>
      </c>
      <c r="P52" s="10">
        <v>1027.5</v>
      </c>
      <c r="Q52" s="12">
        <v>0.283795620437956</v>
      </c>
    </row>
    <row r="53" spans="1:17">
      <c r="A53" s="10">
        <v>2006</v>
      </c>
      <c r="B53" s="10" t="s">
        <v>38</v>
      </c>
      <c r="C53" s="11">
        <v>379.688004</v>
      </c>
      <c r="D53" s="11">
        <v>417.090897</v>
      </c>
      <c r="E53" s="11">
        <v>1.07073</v>
      </c>
      <c r="F53" s="10">
        <v>1.78</v>
      </c>
      <c r="G53" s="10">
        <v>83.9825756133333</v>
      </c>
      <c r="H53" s="10">
        <v>2808</v>
      </c>
      <c r="I53" s="10">
        <v>1311</v>
      </c>
      <c r="J53" s="12">
        <v>0.466880341880342</v>
      </c>
      <c r="K53" s="10">
        <v>13915</v>
      </c>
      <c r="L53" s="10">
        <v>2.15323374133614</v>
      </c>
      <c r="M53" s="10">
        <v>1.37630438684204</v>
      </c>
      <c r="N53" s="10">
        <v>5368</v>
      </c>
      <c r="O53" s="10">
        <v>1873.4</v>
      </c>
      <c r="P53" s="10">
        <v>3900.3</v>
      </c>
      <c r="Q53" s="12">
        <v>0.480322026510781</v>
      </c>
    </row>
    <row r="54" spans="1:17">
      <c r="A54" s="10">
        <v>2006</v>
      </c>
      <c r="B54" s="10" t="s">
        <v>39</v>
      </c>
      <c r="C54" s="11">
        <v>1183.642911</v>
      </c>
      <c r="D54" s="11">
        <v>1888.865361</v>
      </c>
      <c r="E54" s="11">
        <v>1643.045733</v>
      </c>
      <c r="F54" s="10">
        <v>5.45</v>
      </c>
      <c r="G54" s="10">
        <v>167.74815338</v>
      </c>
      <c r="H54" s="10">
        <v>8169</v>
      </c>
      <c r="I54" s="10">
        <v>2802</v>
      </c>
      <c r="J54" s="12">
        <v>0.343004039662137</v>
      </c>
      <c r="K54" s="10">
        <v>10371</v>
      </c>
      <c r="L54" s="10">
        <v>1.97473899466726</v>
      </c>
      <c r="M54" s="10">
        <v>1.52871790645932</v>
      </c>
      <c r="N54" s="10">
        <v>12986</v>
      </c>
      <c r="O54" s="10">
        <v>3658.1</v>
      </c>
      <c r="P54" s="10">
        <v>8494.7</v>
      </c>
      <c r="Q54" s="12">
        <v>0.430633218359683</v>
      </c>
    </row>
    <row r="55" spans="1:17">
      <c r="A55" s="10">
        <v>2006</v>
      </c>
      <c r="B55" s="10" t="s">
        <v>40</v>
      </c>
      <c r="C55" s="11">
        <v>614.685834</v>
      </c>
      <c r="D55" s="11">
        <v>1025.064603</v>
      </c>
      <c r="E55" s="11">
        <v>33.576903</v>
      </c>
      <c r="F55" s="10">
        <v>2.68</v>
      </c>
      <c r="G55" s="10">
        <v>167.540310166667</v>
      </c>
      <c r="H55" s="10">
        <v>3690</v>
      </c>
      <c r="I55" s="10">
        <v>1013</v>
      </c>
      <c r="J55" s="12">
        <v>0.274525745257453</v>
      </c>
      <c r="K55" s="10">
        <v>6103</v>
      </c>
      <c r="L55" s="10">
        <v>7.39986352929052</v>
      </c>
      <c r="M55" s="10">
        <v>2.72602800229672</v>
      </c>
      <c r="N55" s="10">
        <v>6172</v>
      </c>
      <c r="O55" s="10">
        <v>953</v>
      </c>
      <c r="P55" s="10">
        <v>2264.1</v>
      </c>
      <c r="Q55" s="12">
        <v>0.420917803983923</v>
      </c>
    </row>
    <row r="56" spans="1:17">
      <c r="A56" s="10">
        <v>2006</v>
      </c>
      <c r="B56" s="10" t="s">
        <v>41</v>
      </c>
      <c r="C56" s="11">
        <v>815.30181</v>
      </c>
      <c r="D56" s="11">
        <v>2609.653896</v>
      </c>
      <c r="E56" s="11">
        <v>281.538981</v>
      </c>
      <c r="F56" s="10">
        <v>1.32</v>
      </c>
      <c r="G56" s="10">
        <v>140.6143401746</v>
      </c>
      <c r="H56" s="10">
        <v>4483</v>
      </c>
      <c r="I56" s="10">
        <v>1367</v>
      </c>
      <c r="J56" s="12">
        <v>0.304929734552755</v>
      </c>
      <c r="K56" s="10">
        <v>9158</v>
      </c>
      <c r="L56" s="10">
        <v>3.43741511659618</v>
      </c>
      <c r="M56" s="10">
        <v>1.61854939252451</v>
      </c>
      <c r="N56" s="10">
        <v>6621</v>
      </c>
      <c r="O56" s="10">
        <v>1674.2</v>
      </c>
      <c r="P56" s="10">
        <v>4090.7</v>
      </c>
      <c r="Q56" s="12">
        <v>0.409269807123475</v>
      </c>
    </row>
    <row r="57" spans="1:17">
      <c r="A57" s="10">
        <v>2006</v>
      </c>
      <c r="B57" s="10" t="s">
        <v>42</v>
      </c>
      <c r="C57" s="11">
        <v>570.695229</v>
      </c>
      <c r="D57" s="11">
        <v>864.779382</v>
      </c>
      <c r="E57" s="11">
        <v>555.416487</v>
      </c>
      <c r="F57" s="10">
        <v>1.89</v>
      </c>
      <c r="G57" s="10">
        <v>187.383755413333</v>
      </c>
      <c r="H57" s="10">
        <v>3699</v>
      </c>
      <c r="I57" s="10">
        <v>1447</v>
      </c>
      <c r="J57" s="12">
        <v>0.391186807245201</v>
      </c>
      <c r="K57" s="10">
        <v>12439</v>
      </c>
      <c r="L57" s="10">
        <v>4.07746007949633</v>
      </c>
      <c r="M57" s="10">
        <v>1.33366698581252</v>
      </c>
      <c r="N57" s="10">
        <v>6129</v>
      </c>
      <c r="O57" s="10">
        <v>2271</v>
      </c>
      <c r="P57" s="10">
        <v>4595.6</v>
      </c>
      <c r="Q57" s="12">
        <v>0.494168334929063</v>
      </c>
    </row>
    <row r="58" spans="1:17">
      <c r="A58" s="10">
        <v>2006</v>
      </c>
      <c r="B58" s="10" t="s">
        <v>43</v>
      </c>
      <c r="C58" s="11">
        <v>570.469167</v>
      </c>
      <c r="D58" s="11">
        <v>351.083601</v>
      </c>
      <c r="E58" s="11">
        <v>1513.675053</v>
      </c>
      <c r="F58" s="10">
        <v>0.92</v>
      </c>
      <c r="G58" s="10">
        <v>110.457761053333</v>
      </c>
      <c r="H58" s="10">
        <v>2547</v>
      </c>
      <c r="I58" s="10">
        <v>792</v>
      </c>
      <c r="J58" s="12">
        <v>0.31095406360424</v>
      </c>
      <c r="K58" s="10">
        <v>8653</v>
      </c>
      <c r="L58" s="10">
        <v>5.01397008866697</v>
      </c>
      <c r="M58" s="10">
        <v>2.15297321833863</v>
      </c>
      <c r="N58" s="10">
        <v>4743</v>
      </c>
      <c r="O58" s="10">
        <v>972.5</v>
      </c>
      <c r="P58" s="10">
        <v>2203</v>
      </c>
      <c r="Q58" s="12">
        <v>0.441443486155243</v>
      </c>
    </row>
    <row r="59" spans="1:17">
      <c r="A59" s="10">
        <v>2006</v>
      </c>
      <c r="B59" s="10" t="s">
        <v>44</v>
      </c>
      <c r="C59" s="11">
        <v>64.212237</v>
      </c>
      <c r="D59" s="11">
        <v>59.545629</v>
      </c>
      <c r="E59" s="11">
        <v>4581.894978</v>
      </c>
      <c r="F59" s="10">
        <v>0.27</v>
      </c>
      <c r="G59" s="10">
        <v>24.3234587866667</v>
      </c>
      <c r="H59" s="10">
        <v>548</v>
      </c>
      <c r="I59" s="10">
        <v>215</v>
      </c>
      <c r="J59" s="12">
        <v>0.392335766423358</v>
      </c>
      <c r="K59" s="10">
        <v>10728</v>
      </c>
      <c r="L59" s="10">
        <v>4.15643519936204</v>
      </c>
      <c r="M59" s="10">
        <v>3.25187969924812</v>
      </c>
      <c r="N59" s="10">
        <v>1903</v>
      </c>
      <c r="O59" s="10">
        <v>228.1</v>
      </c>
      <c r="P59" s="10">
        <v>585.2</v>
      </c>
      <c r="Q59" s="12">
        <v>0.389781271360219</v>
      </c>
    </row>
    <row r="60" spans="1:17">
      <c r="A60" s="10">
        <v>2006</v>
      </c>
      <c r="B60" s="10" t="s">
        <v>45</v>
      </c>
      <c r="C60" s="11">
        <v>123.453234</v>
      </c>
      <c r="D60" s="11">
        <v>6.678288</v>
      </c>
      <c r="E60" s="11">
        <v>359.308611</v>
      </c>
      <c r="F60" s="10">
        <v>0.84</v>
      </c>
      <c r="G60" s="10">
        <v>82.42119286</v>
      </c>
      <c r="H60" s="10">
        <v>604</v>
      </c>
      <c r="I60" s="10">
        <v>260</v>
      </c>
      <c r="J60" s="12">
        <v>0.43046357615894</v>
      </c>
      <c r="K60" s="10">
        <v>11389</v>
      </c>
      <c r="L60" s="10">
        <v>12.0622263807991</v>
      </c>
      <c r="M60" s="10">
        <v>4.14166544709498</v>
      </c>
      <c r="N60" s="10">
        <v>2830</v>
      </c>
      <c r="O60" s="10">
        <v>321.9</v>
      </c>
      <c r="P60" s="10">
        <v>683.3</v>
      </c>
      <c r="Q60" s="12">
        <v>0.471096151031758</v>
      </c>
    </row>
    <row r="61" spans="1:17">
      <c r="A61" s="10">
        <v>2006</v>
      </c>
      <c r="B61" s="10" t="s">
        <v>46</v>
      </c>
      <c r="C61" s="11">
        <v>681.942717</v>
      </c>
      <c r="D61" s="11">
        <v>165.28392</v>
      </c>
      <c r="E61" s="11">
        <v>3945.45366</v>
      </c>
      <c r="F61" s="10">
        <v>1.8</v>
      </c>
      <c r="G61" s="10">
        <v>148.51230716</v>
      </c>
      <c r="H61" s="10">
        <v>2050</v>
      </c>
      <c r="I61" s="10">
        <v>778</v>
      </c>
      <c r="J61" s="12">
        <v>0.379512195121951</v>
      </c>
      <c r="K61" s="10">
        <v>14567</v>
      </c>
      <c r="L61" s="10">
        <v>5.02188845095188</v>
      </c>
      <c r="M61" s="10">
        <v>2.04477056774761</v>
      </c>
      <c r="N61" s="10">
        <v>6047</v>
      </c>
      <c r="O61" s="10">
        <v>1409.8</v>
      </c>
      <c r="P61" s="10">
        <v>2957.3</v>
      </c>
      <c r="Q61" s="12">
        <v>0.47671862847868</v>
      </c>
    </row>
    <row r="62" spans="1:17">
      <c r="A62" s="10">
        <v>2007</v>
      </c>
      <c r="B62" s="10" t="s">
        <v>17</v>
      </c>
      <c r="C62" s="11">
        <v>49.616658</v>
      </c>
      <c r="D62" s="11">
        <v>77.9337</v>
      </c>
      <c r="E62" s="11">
        <v>5.463261</v>
      </c>
      <c r="F62" s="10">
        <v>4.48</v>
      </c>
      <c r="G62" s="10">
        <v>80.4055601</v>
      </c>
      <c r="H62" s="10">
        <v>1676</v>
      </c>
      <c r="I62" s="10">
        <v>1416</v>
      </c>
      <c r="J62" s="12">
        <v>0.844868735083532</v>
      </c>
      <c r="K62" s="10">
        <v>63629</v>
      </c>
      <c r="L62" s="10">
        <v>0.771239365977651</v>
      </c>
      <c r="M62" s="10">
        <v>0.602848784230972</v>
      </c>
      <c r="N62" s="10">
        <v>6285</v>
      </c>
      <c r="O62" s="10">
        <v>2413.4</v>
      </c>
      <c r="P62" s="10">
        <v>10425.5</v>
      </c>
      <c r="Q62" s="12">
        <v>0.231490096398254</v>
      </c>
    </row>
    <row r="63" spans="1:17">
      <c r="A63" s="10">
        <v>2007</v>
      </c>
      <c r="B63" s="10" t="s">
        <v>18</v>
      </c>
      <c r="C63" s="11">
        <v>68.826591</v>
      </c>
      <c r="D63" s="11">
        <v>3.401208</v>
      </c>
      <c r="E63" s="11">
        <v>0.336582</v>
      </c>
      <c r="F63" s="10" t="s">
        <v>47</v>
      </c>
      <c r="G63" s="10">
        <v>90.0208273066667</v>
      </c>
      <c r="H63" s="10">
        <v>1115</v>
      </c>
      <c r="I63" s="10">
        <v>851</v>
      </c>
      <c r="J63" s="12">
        <v>0.763228699551569</v>
      </c>
      <c r="K63" s="10">
        <v>37976</v>
      </c>
      <c r="L63" s="10">
        <v>2.16479480825959</v>
      </c>
      <c r="M63" s="10">
        <v>1.18867833782224</v>
      </c>
      <c r="N63" s="10">
        <v>4943</v>
      </c>
      <c r="O63" s="10">
        <v>2123.6</v>
      </c>
      <c r="P63" s="10">
        <v>4158.4</v>
      </c>
      <c r="Q63" s="12">
        <v>0.510677183532128</v>
      </c>
    </row>
    <row r="64" spans="1:17">
      <c r="A64" s="10">
        <v>2007</v>
      </c>
      <c r="B64" s="10" t="s">
        <v>19</v>
      </c>
      <c r="C64" s="11">
        <v>888.350238</v>
      </c>
      <c r="D64" s="11">
        <v>414.074232</v>
      </c>
      <c r="E64" s="11">
        <v>361.034316</v>
      </c>
      <c r="F64" s="10">
        <v>5.08</v>
      </c>
      <c r="G64" s="10">
        <v>453.980860146667</v>
      </c>
      <c r="H64" s="10">
        <v>6943</v>
      </c>
      <c r="I64" s="10">
        <v>2795</v>
      </c>
      <c r="J64" s="12">
        <v>0.402563733256517</v>
      </c>
      <c r="K64" s="10">
        <v>17561</v>
      </c>
      <c r="L64" s="10">
        <v>3.73557636569598</v>
      </c>
      <c r="M64" s="10">
        <v>1.94068905364152</v>
      </c>
      <c r="N64" s="10">
        <v>23585</v>
      </c>
      <c r="O64" s="10">
        <v>5849.5</v>
      </c>
      <c r="P64" s="10">
        <v>12152.9</v>
      </c>
      <c r="Q64" s="12">
        <v>0.481325444955525</v>
      </c>
    </row>
    <row r="65" spans="1:17">
      <c r="A65" s="10">
        <v>2007</v>
      </c>
      <c r="B65" s="10" t="s">
        <v>20</v>
      </c>
      <c r="C65" s="11">
        <v>574.792227</v>
      </c>
      <c r="D65" s="11">
        <v>359.901981</v>
      </c>
      <c r="E65" s="11">
        <v>551.084184</v>
      </c>
      <c r="F65" s="10">
        <v>2.18</v>
      </c>
      <c r="G65" s="10">
        <v>238.13284176</v>
      </c>
      <c r="H65" s="10">
        <v>3393</v>
      </c>
      <c r="I65" s="10">
        <v>1494</v>
      </c>
      <c r="J65" s="12">
        <v>0.440318302387268</v>
      </c>
      <c r="K65" s="10">
        <v>17542</v>
      </c>
      <c r="L65" s="10">
        <v>4.01194220904374</v>
      </c>
      <c r="M65" s="10">
        <v>2.62837792304064</v>
      </c>
      <c r="N65" s="10">
        <v>15601</v>
      </c>
      <c r="O65" s="10">
        <v>3602.3</v>
      </c>
      <c r="P65" s="10">
        <v>5935.6</v>
      </c>
      <c r="Q65" s="12">
        <v>0.606897365051553</v>
      </c>
    </row>
    <row r="66" spans="1:17">
      <c r="A66" s="10">
        <v>2007</v>
      </c>
      <c r="B66" s="10" t="s">
        <v>21</v>
      </c>
      <c r="C66" s="11">
        <v>1319.31594</v>
      </c>
      <c r="D66" s="11">
        <v>1759.877469</v>
      </c>
      <c r="E66" s="11">
        <v>5567.64579</v>
      </c>
      <c r="F66" s="10">
        <v>2.41</v>
      </c>
      <c r="G66" s="10">
        <v>328.952235993433</v>
      </c>
      <c r="H66" s="10">
        <v>2429</v>
      </c>
      <c r="I66" s="10">
        <v>1218</v>
      </c>
      <c r="J66" s="12">
        <v>0.501440922190202</v>
      </c>
      <c r="K66" s="10">
        <v>21334</v>
      </c>
      <c r="L66" s="10">
        <v>6.36652995013322</v>
      </c>
      <c r="M66" s="10">
        <v>2.47285606456483</v>
      </c>
      <c r="N66" s="10">
        <v>12777</v>
      </c>
      <c r="O66" s="10">
        <v>2122.7</v>
      </c>
      <c r="P66" s="10">
        <v>5166.9</v>
      </c>
      <c r="Q66" s="12">
        <v>0.410826607830614</v>
      </c>
    </row>
    <row r="67" spans="1:17">
      <c r="A67" s="10">
        <v>2007</v>
      </c>
      <c r="B67" s="10" t="s">
        <v>22</v>
      </c>
      <c r="C67" s="11">
        <v>721.370574</v>
      </c>
      <c r="D67" s="11">
        <v>511.700985</v>
      </c>
      <c r="E67" s="11">
        <v>78.131403</v>
      </c>
      <c r="F67" s="10">
        <v>7.69</v>
      </c>
      <c r="G67" s="10">
        <v>410.626391133333</v>
      </c>
      <c r="H67" s="10">
        <v>4298</v>
      </c>
      <c r="I67" s="10">
        <v>2544</v>
      </c>
      <c r="J67" s="12">
        <v>0.591903210795719</v>
      </c>
      <c r="K67" s="10">
        <v>24022</v>
      </c>
      <c r="L67" s="10">
        <v>3.98968530667237</v>
      </c>
      <c r="M67" s="10">
        <v>1.60743086997921</v>
      </c>
      <c r="N67" s="10">
        <v>16544</v>
      </c>
      <c r="O67" s="10">
        <v>5060.2</v>
      </c>
      <c r="P67" s="10">
        <v>10292.2</v>
      </c>
      <c r="Q67" s="12">
        <v>0.491653873807349</v>
      </c>
    </row>
    <row r="68" spans="1:17">
      <c r="A68" s="10">
        <v>2007</v>
      </c>
      <c r="B68" s="10" t="s">
        <v>23</v>
      </c>
      <c r="C68" s="11">
        <v>880.110144</v>
      </c>
      <c r="D68" s="11">
        <v>837.892314</v>
      </c>
      <c r="E68" s="11">
        <v>68.659353</v>
      </c>
      <c r="F68" s="10">
        <v>2.9</v>
      </c>
      <c r="G68" s="10">
        <v>161.912805493333</v>
      </c>
      <c r="H68" s="10">
        <v>2730</v>
      </c>
      <c r="I68" s="10">
        <v>1451</v>
      </c>
      <c r="J68" s="12">
        <v>0.531501831501832</v>
      </c>
      <c r="K68" s="10">
        <v>14966</v>
      </c>
      <c r="L68" s="10">
        <v>3.96815933861072</v>
      </c>
      <c r="M68" s="10">
        <v>1.60698968213122</v>
      </c>
      <c r="N68" s="10">
        <v>6557</v>
      </c>
      <c r="O68" s="10">
        <v>1477.7</v>
      </c>
      <c r="P68" s="10">
        <v>4080.3</v>
      </c>
      <c r="Q68" s="12">
        <v>0.36215474352376</v>
      </c>
    </row>
    <row r="69" spans="1:17">
      <c r="A69" s="10">
        <v>2007</v>
      </c>
      <c r="B69" s="10" t="s">
        <v>24</v>
      </c>
      <c r="C69" s="11">
        <v>1971.209106</v>
      </c>
      <c r="D69" s="11">
        <v>2280.966003</v>
      </c>
      <c r="E69" s="11">
        <v>93.902301</v>
      </c>
      <c r="F69" s="10">
        <v>22.01</v>
      </c>
      <c r="G69" s="10">
        <v>222.49605006</v>
      </c>
      <c r="H69" s="10">
        <v>3824</v>
      </c>
      <c r="I69" s="10">
        <v>2061</v>
      </c>
      <c r="J69" s="12">
        <v>0.538964435146444</v>
      </c>
      <c r="K69" s="10">
        <v>16023</v>
      </c>
      <c r="L69" s="10">
        <v>3.63181773762304</v>
      </c>
      <c r="M69" s="10">
        <v>1.53061391051695</v>
      </c>
      <c r="N69" s="10">
        <v>9377</v>
      </c>
      <c r="O69" s="10">
        <v>3383</v>
      </c>
      <c r="P69" s="10">
        <v>6126.3</v>
      </c>
      <c r="Q69" s="12">
        <v>0.552209326999984</v>
      </c>
    </row>
    <row r="70" spans="1:17">
      <c r="A70" s="10">
        <v>2007</v>
      </c>
      <c r="B70" s="10" t="s">
        <v>25</v>
      </c>
      <c r="C70" s="11">
        <v>45.659889</v>
      </c>
      <c r="D70" s="11">
        <v>0.064476</v>
      </c>
      <c r="E70" s="11">
        <v>0.030195</v>
      </c>
      <c r="F70" s="10">
        <v>3.18</v>
      </c>
      <c r="G70" s="10">
        <v>131.562020006667</v>
      </c>
      <c r="H70" s="10">
        <v>2064</v>
      </c>
      <c r="I70" s="10">
        <v>1830</v>
      </c>
      <c r="J70" s="12">
        <v>0.886627906976744</v>
      </c>
      <c r="K70" s="10">
        <v>63951</v>
      </c>
      <c r="L70" s="10">
        <v>1.02154736119846</v>
      </c>
      <c r="M70" s="10">
        <v>0.750852182285479</v>
      </c>
      <c r="N70" s="10">
        <v>9670</v>
      </c>
      <c r="O70" s="10">
        <v>5677.5</v>
      </c>
      <c r="P70" s="10">
        <v>12878.7</v>
      </c>
      <c r="Q70" s="12">
        <v>0.440844184583848</v>
      </c>
    </row>
    <row r="71" spans="1:17">
      <c r="A71" s="10">
        <v>2007</v>
      </c>
      <c r="B71" s="10" t="s">
        <v>26</v>
      </c>
      <c r="C71" s="11">
        <v>746.334693</v>
      </c>
      <c r="D71" s="11">
        <v>19.022886</v>
      </c>
      <c r="E71" s="11">
        <v>0.318681</v>
      </c>
      <c r="F71" s="10">
        <v>18.08</v>
      </c>
      <c r="G71" s="10">
        <v>436.34622378</v>
      </c>
      <c r="H71" s="10">
        <v>7723</v>
      </c>
      <c r="I71" s="10">
        <v>4109</v>
      </c>
      <c r="J71" s="12">
        <v>0.532047131943545</v>
      </c>
      <c r="K71" s="10">
        <v>33798</v>
      </c>
      <c r="L71" s="10">
        <v>1.67900380084961</v>
      </c>
      <c r="M71" s="10">
        <v>0.806051930861461</v>
      </c>
      <c r="N71" s="10">
        <v>20948</v>
      </c>
      <c r="O71" s="10">
        <v>14497.4</v>
      </c>
      <c r="P71" s="10">
        <v>25988.4</v>
      </c>
      <c r="Q71" s="12">
        <v>0.557841190685075</v>
      </c>
    </row>
    <row r="72" spans="1:17">
      <c r="A72" s="10">
        <v>2007</v>
      </c>
      <c r="B72" s="10" t="s">
        <v>27</v>
      </c>
      <c r="C72" s="11">
        <v>243.461385</v>
      </c>
      <c r="D72" s="11">
        <v>697.365306</v>
      </c>
      <c r="E72" s="11">
        <v>0.292752</v>
      </c>
      <c r="F72" s="10">
        <v>6.33</v>
      </c>
      <c r="G72" s="10">
        <v>326.157356267333</v>
      </c>
      <c r="H72" s="10">
        <v>5155</v>
      </c>
      <c r="I72" s="10">
        <v>2949</v>
      </c>
      <c r="J72" s="12">
        <v>0.572065955383123</v>
      </c>
      <c r="K72" s="10">
        <v>36454</v>
      </c>
      <c r="L72" s="10">
        <v>1.74977122461016</v>
      </c>
      <c r="M72" s="10">
        <v>0.779184549356223</v>
      </c>
      <c r="N72" s="10">
        <v>14524</v>
      </c>
      <c r="O72" s="10">
        <v>10122.7</v>
      </c>
      <c r="P72" s="10">
        <v>18640</v>
      </c>
      <c r="Q72" s="12">
        <v>0.54306330472103</v>
      </c>
    </row>
    <row r="73" spans="1:17">
      <c r="A73" s="10">
        <v>2007</v>
      </c>
      <c r="B73" s="10" t="s">
        <v>28</v>
      </c>
      <c r="C73" s="11">
        <v>859.705992</v>
      </c>
      <c r="D73" s="11">
        <v>377.278002</v>
      </c>
      <c r="E73" s="11">
        <v>0.828189</v>
      </c>
      <c r="F73" s="10">
        <v>5.91</v>
      </c>
      <c r="G73" s="10">
        <v>197.401528613333</v>
      </c>
      <c r="H73" s="10">
        <v>6118</v>
      </c>
      <c r="I73" s="10">
        <v>2368</v>
      </c>
      <c r="J73" s="12">
        <v>0.38705459300425</v>
      </c>
      <c r="K73" s="10">
        <v>12989</v>
      </c>
      <c r="L73" s="10">
        <v>2.48566445821161</v>
      </c>
      <c r="M73" s="10">
        <v>0.974488768006447</v>
      </c>
      <c r="N73" s="10">
        <v>7739</v>
      </c>
      <c r="O73" s="10">
        <v>3371.8</v>
      </c>
      <c r="P73" s="10">
        <v>7941.6</v>
      </c>
      <c r="Q73" s="12">
        <v>0.424574393069407</v>
      </c>
    </row>
    <row r="74" spans="1:17">
      <c r="A74" s="10">
        <v>2007</v>
      </c>
      <c r="B74" s="10" t="s">
        <v>29</v>
      </c>
      <c r="C74" s="11">
        <v>144.07065</v>
      </c>
      <c r="D74" s="11">
        <v>1032.173667</v>
      </c>
      <c r="E74" s="11">
        <v>1.154817</v>
      </c>
      <c r="F74" s="10">
        <v>2.88</v>
      </c>
      <c r="G74" s="10">
        <v>128.665546166667</v>
      </c>
      <c r="H74" s="10">
        <v>3612</v>
      </c>
      <c r="I74" s="10">
        <v>1857</v>
      </c>
      <c r="J74" s="12">
        <v>0.514119601328904</v>
      </c>
      <c r="K74" s="10">
        <v>25915</v>
      </c>
      <c r="L74" s="10">
        <v>1.37970260537302</v>
      </c>
      <c r="M74" s="10">
        <v>0.813566955477396</v>
      </c>
      <c r="N74" s="10">
        <v>7587</v>
      </c>
      <c r="O74" s="10">
        <v>4521.8</v>
      </c>
      <c r="P74" s="10">
        <v>9325.6</v>
      </c>
      <c r="Q74" s="12">
        <v>0.484880329415802</v>
      </c>
    </row>
    <row r="75" spans="1:17">
      <c r="A75" s="10">
        <v>2007</v>
      </c>
      <c r="B75" s="10" t="s">
        <v>30</v>
      </c>
      <c r="C75" s="11">
        <v>456.91812</v>
      </c>
      <c r="D75" s="11">
        <v>1111.895343</v>
      </c>
      <c r="E75" s="11">
        <v>1.886976</v>
      </c>
      <c r="F75" s="10">
        <v>3.11</v>
      </c>
      <c r="G75" s="10">
        <v>107.21879194</v>
      </c>
      <c r="H75" s="10">
        <v>4368</v>
      </c>
      <c r="I75" s="10">
        <v>1739</v>
      </c>
      <c r="J75" s="12">
        <v>0.398122710622711</v>
      </c>
      <c r="K75" s="10">
        <v>13270</v>
      </c>
      <c r="L75" s="10">
        <v>1.85576696102188</v>
      </c>
      <c r="M75" s="10">
        <v>0.874584602603157</v>
      </c>
      <c r="N75" s="10">
        <v>5053</v>
      </c>
      <c r="O75" s="10">
        <v>2950.3</v>
      </c>
      <c r="P75" s="10">
        <v>5777.6</v>
      </c>
      <c r="Q75" s="12">
        <v>0.510644558294101</v>
      </c>
    </row>
    <row r="76" spans="1:17">
      <c r="A76" s="10">
        <v>2007</v>
      </c>
      <c r="B76" s="10" t="s">
        <v>31</v>
      </c>
      <c r="C76" s="11">
        <v>1138.16106</v>
      </c>
      <c r="D76" s="11">
        <v>65.688003</v>
      </c>
      <c r="E76" s="11">
        <v>31.156371</v>
      </c>
      <c r="F76" s="10">
        <v>12.56</v>
      </c>
      <c r="G76" s="10">
        <v>765.640590042573</v>
      </c>
      <c r="H76" s="10">
        <v>9367</v>
      </c>
      <c r="I76" s="10">
        <v>4379</v>
      </c>
      <c r="J76" s="12">
        <v>0.46749226006192</v>
      </c>
      <c r="K76" s="10">
        <v>24329</v>
      </c>
      <c r="L76" s="10">
        <v>3.37017880035114</v>
      </c>
      <c r="M76" s="10">
        <v>1.28430634604126</v>
      </c>
      <c r="N76" s="10">
        <v>29177</v>
      </c>
      <c r="O76" s="10">
        <v>12529.4</v>
      </c>
      <c r="P76" s="10">
        <v>22718.1</v>
      </c>
      <c r="Q76" s="12">
        <v>0.551516191935065</v>
      </c>
    </row>
    <row r="77" spans="1:17">
      <c r="A77" s="10">
        <v>2007</v>
      </c>
      <c r="B77" s="10" t="s">
        <v>32</v>
      </c>
      <c r="C77" s="11">
        <v>1143.752661</v>
      </c>
      <c r="D77" s="11">
        <v>281.645595</v>
      </c>
      <c r="E77" s="11">
        <v>25.640829</v>
      </c>
      <c r="F77" s="10">
        <v>5.32</v>
      </c>
      <c r="G77" s="10">
        <v>394.89227696</v>
      </c>
      <c r="H77" s="10">
        <v>9360</v>
      </c>
      <c r="I77" s="10">
        <v>3214</v>
      </c>
      <c r="J77" s="12">
        <v>0.343376068376068</v>
      </c>
      <c r="K77" s="10">
        <v>15811</v>
      </c>
      <c r="L77" s="10">
        <v>2.66378142237512</v>
      </c>
      <c r="M77" s="10">
        <v>1.20327835677426</v>
      </c>
      <c r="N77" s="10">
        <v>17838</v>
      </c>
      <c r="O77" s="10">
        <v>7904</v>
      </c>
      <c r="P77" s="10">
        <v>14824.5</v>
      </c>
      <c r="Q77" s="12">
        <v>0.533171439171642</v>
      </c>
    </row>
    <row r="78" spans="1:17">
      <c r="A78" s="10">
        <v>2007</v>
      </c>
      <c r="B78" s="10" t="s">
        <v>33</v>
      </c>
      <c r="C78" s="11">
        <v>833.418873</v>
      </c>
      <c r="D78" s="11">
        <v>901.577502</v>
      </c>
      <c r="E78" s="11">
        <v>4.963077</v>
      </c>
      <c r="F78" s="10">
        <v>4.4</v>
      </c>
      <c r="G78" s="10">
        <v>210.592938366667</v>
      </c>
      <c r="H78" s="10">
        <v>5699</v>
      </c>
      <c r="I78" s="10">
        <v>2525</v>
      </c>
      <c r="J78" s="12">
        <v>0.443060185997543</v>
      </c>
      <c r="K78" s="10">
        <v>16593</v>
      </c>
      <c r="L78" s="10">
        <v>2.22816660353669</v>
      </c>
      <c r="M78" s="10">
        <v>1.2847832067207</v>
      </c>
      <c r="N78" s="10">
        <v>12143</v>
      </c>
      <c r="O78" s="10">
        <v>4128.9</v>
      </c>
      <c r="P78" s="10">
        <v>9451.4</v>
      </c>
      <c r="Q78" s="12">
        <v>0.436855915525742</v>
      </c>
    </row>
    <row r="79" spans="1:17">
      <c r="A79" s="10">
        <v>2007</v>
      </c>
      <c r="B79" s="10" t="s">
        <v>34</v>
      </c>
      <c r="C79" s="11">
        <v>713.628693</v>
      </c>
      <c r="D79" s="11">
        <v>1325.883654</v>
      </c>
      <c r="E79" s="11">
        <v>0.611649</v>
      </c>
      <c r="F79" s="10">
        <v>3.97</v>
      </c>
      <c r="G79" s="10">
        <v>202.429017746667</v>
      </c>
      <c r="H79" s="10">
        <v>6355</v>
      </c>
      <c r="I79" s="10">
        <v>2571</v>
      </c>
      <c r="J79" s="12">
        <v>0.40456333595594</v>
      </c>
      <c r="K79" s="10">
        <v>14626</v>
      </c>
      <c r="L79" s="10">
        <v>2.18005511546677</v>
      </c>
      <c r="M79" s="10">
        <v>1.25238274729417</v>
      </c>
      <c r="N79" s="10">
        <v>11629</v>
      </c>
      <c r="O79" s="10">
        <v>3867.4</v>
      </c>
      <c r="P79" s="10">
        <v>9285.5</v>
      </c>
      <c r="Q79" s="12">
        <v>0.416498842280976</v>
      </c>
    </row>
    <row r="80" spans="1:17">
      <c r="A80" s="10">
        <v>2007</v>
      </c>
      <c r="B80" s="10" t="s">
        <v>35</v>
      </c>
      <c r="C80" s="11">
        <v>471.272643</v>
      </c>
      <c r="D80" s="11">
        <v>1153.619262</v>
      </c>
      <c r="E80" s="11">
        <v>3.180708</v>
      </c>
      <c r="F80" s="10">
        <v>27.47</v>
      </c>
      <c r="G80" s="10">
        <v>327.445275153333</v>
      </c>
      <c r="H80" s="10">
        <v>9660</v>
      </c>
      <c r="I80" s="10">
        <v>6099</v>
      </c>
      <c r="J80" s="12">
        <v>0.631366459627329</v>
      </c>
      <c r="K80" s="10">
        <v>33236</v>
      </c>
      <c r="L80" s="10">
        <v>1.03156412881533</v>
      </c>
      <c r="M80" s="10">
        <v>0.699911160396439</v>
      </c>
      <c r="N80" s="10">
        <v>22217</v>
      </c>
      <c r="O80" s="10">
        <v>16022.6</v>
      </c>
      <c r="P80" s="10">
        <v>31742.6</v>
      </c>
      <c r="Q80" s="12">
        <v>0.504766465254894</v>
      </c>
    </row>
    <row r="81" spans="1:17">
      <c r="A81" s="10">
        <v>2007</v>
      </c>
      <c r="B81" s="10" t="s">
        <v>36</v>
      </c>
      <c r="C81" s="11">
        <v>618.794406</v>
      </c>
      <c r="D81" s="11">
        <v>1640.605887</v>
      </c>
      <c r="E81" s="11">
        <v>2.16801</v>
      </c>
      <c r="F81" s="10">
        <v>5.33</v>
      </c>
      <c r="G81" s="10">
        <v>89.6313567676667</v>
      </c>
      <c r="H81" s="10">
        <v>4768</v>
      </c>
      <c r="I81" s="10">
        <v>1728</v>
      </c>
      <c r="J81" s="12">
        <v>0.36241610738255</v>
      </c>
      <c r="K81" s="10">
        <v>11542</v>
      </c>
      <c r="L81" s="10">
        <v>1.63716221172767</v>
      </c>
      <c r="M81" s="10">
        <v>1.09538247972529</v>
      </c>
      <c r="N81" s="10">
        <v>5997</v>
      </c>
      <c r="O81" s="10">
        <v>2074</v>
      </c>
      <c r="P81" s="10">
        <v>5474.8</v>
      </c>
      <c r="Q81" s="12">
        <v>0.378826623803609</v>
      </c>
    </row>
    <row r="82" spans="1:17">
      <c r="A82" s="10">
        <v>2007</v>
      </c>
      <c r="B82" s="10" t="s">
        <v>37</v>
      </c>
      <c r="C82" s="11">
        <v>98.289252</v>
      </c>
      <c r="D82" s="11">
        <v>229.633902</v>
      </c>
      <c r="E82" s="11">
        <v>0.763497</v>
      </c>
      <c r="F82" s="10">
        <v>4.83</v>
      </c>
      <c r="G82" s="10">
        <v>34.2051016533333</v>
      </c>
      <c r="H82" s="10">
        <v>845</v>
      </c>
      <c r="I82" s="10">
        <v>399</v>
      </c>
      <c r="J82" s="12">
        <v>0.472189349112426</v>
      </c>
      <c r="K82" s="10">
        <v>14683</v>
      </c>
      <c r="L82" s="10">
        <v>2.77188830253917</v>
      </c>
      <c r="M82" s="10">
        <v>0.856564019448947</v>
      </c>
      <c r="N82" s="10">
        <v>1057</v>
      </c>
      <c r="O82" s="10">
        <v>354.3</v>
      </c>
      <c r="P82" s="10">
        <v>1234</v>
      </c>
      <c r="Q82" s="12">
        <v>0.287115072933549</v>
      </c>
    </row>
    <row r="83" spans="1:17">
      <c r="A83" s="10">
        <v>2007</v>
      </c>
      <c r="B83" s="10" t="s">
        <v>38</v>
      </c>
      <c r="C83" s="11">
        <v>379.062369</v>
      </c>
      <c r="D83" s="11">
        <v>417.370032</v>
      </c>
      <c r="E83" s="11">
        <v>1.009278</v>
      </c>
      <c r="F83" s="10">
        <v>2.42</v>
      </c>
      <c r="G83" s="10">
        <v>91.4799277</v>
      </c>
      <c r="H83" s="10">
        <v>2816</v>
      </c>
      <c r="I83" s="10">
        <v>1360</v>
      </c>
      <c r="J83" s="12">
        <v>0.482954545454545</v>
      </c>
      <c r="K83" s="10">
        <v>16966</v>
      </c>
      <c r="L83" s="10">
        <v>1.91753679124657</v>
      </c>
      <c r="M83" s="10">
        <v>1.24656758966189</v>
      </c>
      <c r="N83" s="10">
        <v>5947</v>
      </c>
      <c r="O83" s="10">
        <v>2237.3</v>
      </c>
      <c r="P83" s="10">
        <v>4770.7</v>
      </c>
      <c r="Q83" s="12">
        <v>0.468966818286625</v>
      </c>
    </row>
    <row r="84" spans="1:17">
      <c r="A84" s="10">
        <v>2007</v>
      </c>
      <c r="B84" s="10" t="s">
        <v>39</v>
      </c>
      <c r="C84" s="11">
        <v>1180.936233</v>
      </c>
      <c r="D84" s="11">
        <v>1891.676898</v>
      </c>
      <c r="E84" s="11">
        <v>1640.731338</v>
      </c>
      <c r="F84" s="10">
        <v>5.59</v>
      </c>
      <c r="G84" s="10">
        <v>207.8213225</v>
      </c>
      <c r="H84" s="10">
        <v>8127</v>
      </c>
      <c r="I84" s="10">
        <v>2893</v>
      </c>
      <c r="J84" s="12">
        <v>0.355973914113449</v>
      </c>
      <c r="K84" s="10">
        <v>12963</v>
      </c>
      <c r="L84" s="10">
        <v>1.96761366110906</v>
      </c>
      <c r="M84" s="10">
        <v>1.34575510551879</v>
      </c>
      <c r="N84" s="10">
        <v>14214</v>
      </c>
      <c r="O84" s="10">
        <v>4607.7</v>
      </c>
      <c r="P84" s="10">
        <v>10562.1</v>
      </c>
      <c r="Q84" s="12">
        <v>0.436248473314966</v>
      </c>
    </row>
    <row r="85" spans="1:17">
      <c r="A85" s="10">
        <v>2007</v>
      </c>
      <c r="B85" s="10" t="s">
        <v>40</v>
      </c>
      <c r="C85" s="11">
        <v>621.426969</v>
      </c>
      <c r="D85" s="11">
        <v>1023.623802</v>
      </c>
      <c r="E85" s="11">
        <v>31.59792</v>
      </c>
      <c r="F85" s="10">
        <v>2.72</v>
      </c>
      <c r="G85" s="10">
        <v>159.51047436</v>
      </c>
      <c r="H85" s="10">
        <v>3632</v>
      </c>
      <c r="I85" s="10">
        <v>1026</v>
      </c>
      <c r="J85" s="12">
        <v>0.282488986784141</v>
      </c>
      <c r="K85" s="10">
        <v>7778</v>
      </c>
      <c r="L85" s="10">
        <v>5.60177258507463</v>
      </c>
      <c r="M85" s="10">
        <v>2.38805970149254</v>
      </c>
      <c r="N85" s="10">
        <v>6800</v>
      </c>
      <c r="O85" s="10">
        <v>1187.2</v>
      </c>
      <c r="P85" s="10">
        <v>2847.5</v>
      </c>
      <c r="Q85" s="12">
        <v>0.416927129060579</v>
      </c>
    </row>
    <row r="86" spans="1:17">
      <c r="A86" s="10">
        <v>2007</v>
      </c>
      <c r="B86" s="10" t="s">
        <v>41</v>
      </c>
      <c r="C86" s="11">
        <v>810.282618</v>
      </c>
      <c r="D86" s="11">
        <v>2614.37211</v>
      </c>
      <c r="E86" s="11">
        <v>277.694928</v>
      </c>
      <c r="F86" s="10">
        <v>1.65</v>
      </c>
      <c r="G86" s="10">
        <v>137.408933335443</v>
      </c>
      <c r="H86" s="10">
        <v>4514</v>
      </c>
      <c r="I86" s="10">
        <v>1426</v>
      </c>
      <c r="J86" s="12">
        <v>0.315906070004431</v>
      </c>
      <c r="K86" s="10">
        <v>11287</v>
      </c>
      <c r="L86" s="10">
        <v>2.70628536919375</v>
      </c>
      <c r="M86" s="10">
        <v>1.40485287745697</v>
      </c>
      <c r="N86" s="10">
        <v>7133</v>
      </c>
      <c r="O86" s="10">
        <v>2057.4</v>
      </c>
      <c r="P86" s="10">
        <v>5077.4</v>
      </c>
      <c r="Q86" s="12">
        <v>0.405207389608855</v>
      </c>
    </row>
    <row r="87" spans="1:17">
      <c r="A87" s="10">
        <v>2007</v>
      </c>
      <c r="B87" s="10" t="s">
        <v>42</v>
      </c>
      <c r="C87" s="11">
        <v>572.009805</v>
      </c>
      <c r="D87" s="11">
        <v>870.167043</v>
      </c>
      <c r="E87" s="11">
        <v>549.092835</v>
      </c>
      <c r="F87" s="10">
        <v>2.15</v>
      </c>
      <c r="G87" s="10">
        <v>234.27514794</v>
      </c>
      <c r="H87" s="10">
        <v>3708</v>
      </c>
      <c r="I87" s="10">
        <v>1506</v>
      </c>
      <c r="J87" s="12">
        <v>0.406148867313916</v>
      </c>
      <c r="K87" s="10">
        <v>15342</v>
      </c>
      <c r="L87" s="10">
        <v>4.12325579816255</v>
      </c>
      <c r="M87" s="10">
        <v>1.19240381569221</v>
      </c>
      <c r="N87" s="10">
        <v>6775</v>
      </c>
      <c r="O87" s="10">
        <v>2865.9</v>
      </c>
      <c r="P87" s="10">
        <v>5681.8</v>
      </c>
      <c r="Q87" s="12">
        <v>0.504400014080045</v>
      </c>
    </row>
    <row r="88" spans="1:17">
      <c r="A88" s="10">
        <v>2007</v>
      </c>
      <c r="B88" s="10" t="s">
        <v>43</v>
      </c>
      <c r="C88" s="11">
        <v>573.222537</v>
      </c>
      <c r="D88" s="11">
        <v>353.46609</v>
      </c>
      <c r="E88" s="11">
        <v>1512.47889</v>
      </c>
      <c r="F88" s="10">
        <v>1.26</v>
      </c>
      <c r="G88" s="10">
        <v>118.034635893333</v>
      </c>
      <c r="H88" s="10">
        <v>2548</v>
      </c>
      <c r="I88" s="10">
        <v>822</v>
      </c>
      <c r="J88" s="12">
        <v>0.322605965463108</v>
      </c>
      <c r="K88" s="10">
        <v>10501</v>
      </c>
      <c r="L88" s="10">
        <v>4.41234480555244</v>
      </c>
      <c r="M88" s="10">
        <v>1.90983514634967</v>
      </c>
      <c r="N88" s="10">
        <v>5109</v>
      </c>
      <c r="O88" s="10">
        <v>1254.1</v>
      </c>
      <c r="P88" s="10">
        <v>2675.1</v>
      </c>
      <c r="Q88" s="12">
        <v>0.468804904489552</v>
      </c>
    </row>
    <row r="89" spans="1:17">
      <c r="A89" s="10">
        <v>2007</v>
      </c>
      <c r="B89" s="10" t="s">
        <v>44</v>
      </c>
      <c r="C89" s="11">
        <v>63.809739</v>
      </c>
      <c r="D89" s="11">
        <v>59.925456</v>
      </c>
      <c r="E89" s="11">
        <v>4575.1455</v>
      </c>
      <c r="F89" s="10">
        <v>0.3</v>
      </c>
      <c r="G89" s="10">
        <v>24.982790341</v>
      </c>
      <c r="H89" s="10">
        <v>552</v>
      </c>
      <c r="I89" s="10">
        <v>221</v>
      </c>
      <c r="J89" s="12">
        <v>0.40036231884058</v>
      </c>
      <c r="K89" s="10">
        <v>13100</v>
      </c>
      <c r="L89" s="10">
        <v>3.46935013761977</v>
      </c>
      <c r="M89" s="10">
        <v>2.90931815025691</v>
      </c>
      <c r="N89" s="10">
        <v>2095</v>
      </c>
      <c r="O89" s="10">
        <v>275.3</v>
      </c>
      <c r="P89" s="10">
        <v>720.1</v>
      </c>
      <c r="Q89" s="12">
        <v>0.382308012776003</v>
      </c>
    </row>
    <row r="90" spans="1:17">
      <c r="A90" s="10">
        <v>2007</v>
      </c>
      <c r="B90" s="10" t="s">
        <v>45</v>
      </c>
      <c r="C90" s="11">
        <v>124.910532</v>
      </c>
      <c r="D90" s="11">
        <v>6.687576</v>
      </c>
      <c r="E90" s="11">
        <v>357.336216</v>
      </c>
      <c r="F90" s="10">
        <v>1.21</v>
      </c>
      <c r="G90" s="10">
        <v>98.2526968086667</v>
      </c>
      <c r="H90" s="10">
        <v>610</v>
      </c>
      <c r="I90" s="10">
        <v>269</v>
      </c>
      <c r="J90" s="12">
        <v>0.440983606557377</v>
      </c>
      <c r="K90" s="10">
        <v>14458</v>
      </c>
      <c r="L90" s="10">
        <v>11.1956126719082</v>
      </c>
      <c r="M90" s="10">
        <v>3.50615314494075</v>
      </c>
      <c r="N90" s="10">
        <v>3077</v>
      </c>
      <c r="O90" s="10">
        <v>422</v>
      </c>
      <c r="P90" s="10">
        <v>877.6</v>
      </c>
      <c r="Q90" s="12">
        <v>0.480856882406563</v>
      </c>
    </row>
    <row r="91" spans="1:17">
      <c r="A91" s="10">
        <v>2007</v>
      </c>
      <c r="B91" s="10" t="s">
        <v>46</v>
      </c>
      <c r="C91" s="11">
        <v>698.438358</v>
      </c>
      <c r="D91" s="11">
        <v>167.101758</v>
      </c>
      <c r="E91" s="11">
        <v>3941.041572</v>
      </c>
      <c r="F91" s="10">
        <v>3.26</v>
      </c>
      <c r="G91" s="10">
        <v>152.452434346667</v>
      </c>
      <c r="H91" s="10">
        <v>2095</v>
      </c>
      <c r="I91" s="10">
        <v>820</v>
      </c>
      <c r="J91" s="12">
        <v>0.391408114558473</v>
      </c>
      <c r="K91" s="10">
        <v>16887</v>
      </c>
      <c r="L91" s="10">
        <v>4.35578383847619</v>
      </c>
      <c r="M91" s="10">
        <v>1.87885714285714</v>
      </c>
      <c r="N91" s="10">
        <v>6576</v>
      </c>
      <c r="O91" s="10">
        <v>1588.5</v>
      </c>
      <c r="P91" s="10">
        <v>3500</v>
      </c>
      <c r="Q91" s="12">
        <v>0.453857142857143</v>
      </c>
    </row>
    <row r="92" spans="1:17">
      <c r="A92" s="10">
        <v>2008</v>
      </c>
      <c r="B92" s="10" t="s">
        <v>17</v>
      </c>
      <c r="C92" s="11">
        <v>48.71097</v>
      </c>
      <c r="D92" s="11">
        <v>78.114933</v>
      </c>
      <c r="E92" s="11">
        <v>5.529294</v>
      </c>
      <c r="F92" s="10">
        <v>4.7</v>
      </c>
      <c r="G92" s="10">
        <v>92.2620945266667</v>
      </c>
      <c r="H92" s="10">
        <v>1771</v>
      </c>
      <c r="I92" s="10">
        <v>1504</v>
      </c>
      <c r="J92" s="12">
        <v>0.849237718802936</v>
      </c>
      <c r="K92" s="10">
        <v>68541</v>
      </c>
      <c r="L92" s="10">
        <v>0.781015097871572</v>
      </c>
      <c r="M92" s="10">
        <v>0.535591842954009</v>
      </c>
      <c r="N92" s="10">
        <v>6327</v>
      </c>
      <c r="O92" s="10">
        <v>2526.7</v>
      </c>
      <c r="P92" s="10">
        <v>11813.1</v>
      </c>
      <c r="Q92" s="12">
        <v>0.213889664863584</v>
      </c>
    </row>
    <row r="93" spans="1:17">
      <c r="A93" s="10">
        <v>2008</v>
      </c>
      <c r="B93" s="10" t="s">
        <v>18</v>
      </c>
      <c r="C93" s="11">
        <v>68.269005</v>
      </c>
      <c r="D93" s="11">
        <v>3.427731</v>
      </c>
      <c r="E93" s="11">
        <v>0.338472</v>
      </c>
      <c r="F93" s="10" t="s">
        <v>47</v>
      </c>
      <c r="G93" s="10">
        <v>92.7034611733333</v>
      </c>
      <c r="H93" s="10">
        <v>1176</v>
      </c>
      <c r="I93" s="10">
        <v>908</v>
      </c>
      <c r="J93" s="12">
        <v>0.772108843537415</v>
      </c>
      <c r="K93" s="10">
        <v>45242</v>
      </c>
      <c r="L93" s="10">
        <v>1.78881331377997</v>
      </c>
      <c r="M93" s="10">
        <v>1.03504167953072</v>
      </c>
      <c r="N93" s="10">
        <v>5364</v>
      </c>
      <c r="O93" s="10">
        <v>2659.7</v>
      </c>
      <c r="P93" s="10">
        <v>5182.4</v>
      </c>
      <c r="Q93" s="12">
        <v>0.513217814140167</v>
      </c>
    </row>
    <row r="94" spans="1:17">
      <c r="A94" s="10">
        <v>2008</v>
      </c>
      <c r="B94" s="10" t="s">
        <v>19</v>
      </c>
      <c r="C94" s="11">
        <v>880.818075</v>
      </c>
      <c r="D94" s="11">
        <v>417.178278</v>
      </c>
      <c r="E94" s="11">
        <v>361.954197</v>
      </c>
      <c r="F94" s="10">
        <v>5.69</v>
      </c>
      <c r="G94" s="10">
        <v>481.9801329</v>
      </c>
      <c r="H94" s="10">
        <v>6989</v>
      </c>
      <c r="I94" s="10">
        <v>2928</v>
      </c>
      <c r="J94" s="12">
        <v>0.418944054943483</v>
      </c>
      <c r="K94" s="10">
        <v>20385</v>
      </c>
      <c r="L94" s="10">
        <v>3.39420238519447</v>
      </c>
      <c r="M94" s="10">
        <v>1.71280483940254</v>
      </c>
      <c r="N94" s="10">
        <v>24322</v>
      </c>
      <c r="O94" s="10">
        <v>6981.5</v>
      </c>
      <c r="P94" s="10">
        <v>14200.1</v>
      </c>
      <c r="Q94" s="12">
        <v>0.491651467243188</v>
      </c>
    </row>
    <row r="95" spans="1:17">
      <c r="A95" s="10">
        <v>2008</v>
      </c>
      <c r="B95" s="10" t="s">
        <v>20</v>
      </c>
      <c r="C95" s="11">
        <v>566.525754</v>
      </c>
      <c r="D95" s="11">
        <v>363.50721</v>
      </c>
      <c r="E95" s="11">
        <v>556.107012</v>
      </c>
      <c r="F95" s="10">
        <v>2.53</v>
      </c>
      <c r="G95" s="10">
        <v>593.754201946667</v>
      </c>
      <c r="H95" s="10">
        <v>3411</v>
      </c>
      <c r="I95" s="10">
        <v>1539</v>
      </c>
      <c r="J95" s="12">
        <v>0.451187335092348</v>
      </c>
      <c r="K95" s="10">
        <v>21234</v>
      </c>
      <c r="L95" s="10">
        <v>8.22032676099497</v>
      </c>
      <c r="M95" s="10">
        <v>2.17015090682542</v>
      </c>
      <c r="N95" s="10">
        <v>15675</v>
      </c>
      <c r="O95" s="10">
        <v>4389</v>
      </c>
      <c r="P95" s="10">
        <v>7223</v>
      </c>
      <c r="Q95" s="12">
        <v>0.607642253911117</v>
      </c>
    </row>
    <row r="96" spans="1:17">
      <c r="A96" s="10">
        <v>2008</v>
      </c>
      <c r="B96" s="10" t="s">
        <v>21</v>
      </c>
      <c r="C96" s="11">
        <v>1315.403172</v>
      </c>
      <c r="D96" s="11">
        <v>1761.057702</v>
      </c>
      <c r="E96" s="11">
        <v>5572.800711</v>
      </c>
      <c r="F96" s="10">
        <v>2.6</v>
      </c>
      <c r="G96" s="10">
        <v>437.67634236</v>
      </c>
      <c r="H96" s="10">
        <v>2444</v>
      </c>
      <c r="I96" s="10">
        <v>1264</v>
      </c>
      <c r="J96" s="12">
        <v>0.517184942716858</v>
      </c>
      <c r="K96" s="10">
        <v>25620</v>
      </c>
      <c r="L96" s="10">
        <v>7.01134727604767</v>
      </c>
      <c r="M96" s="10">
        <v>2.25874663590927</v>
      </c>
      <c r="N96" s="10">
        <v>14100</v>
      </c>
      <c r="O96" s="10">
        <v>2555.1</v>
      </c>
      <c r="P96" s="10">
        <v>6242.4</v>
      </c>
      <c r="Q96" s="12">
        <v>0.409313725490196</v>
      </c>
    </row>
    <row r="97" spans="1:17">
      <c r="A97" s="10">
        <v>2008</v>
      </c>
      <c r="B97" s="10" t="s">
        <v>22</v>
      </c>
      <c r="C97" s="11">
        <v>721.339722</v>
      </c>
      <c r="D97" s="11">
        <v>510.839874</v>
      </c>
      <c r="E97" s="11">
        <v>76.806486</v>
      </c>
      <c r="F97" s="10">
        <v>7.88</v>
      </c>
      <c r="G97" s="10">
        <v>436.445688433333</v>
      </c>
      <c r="H97" s="10">
        <v>4315</v>
      </c>
      <c r="I97" s="10">
        <v>2591</v>
      </c>
      <c r="J97" s="12">
        <v>0.600463499420626</v>
      </c>
      <c r="K97" s="10">
        <v>28185</v>
      </c>
      <c r="L97" s="10">
        <v>3.59578576199225</v>
      </c>
      <c r="M97" s="10">
        <v>1.46658757425212</v>
      </c>
      <c r="N97" s="10">
        <v>17801</v>
      </c>
      <c r="O97" s="10">
        <v>6273.1</v>
      </c>
      <c r="P97" s="10">
        <v>12137.7</v>
      </c>
      <c r="Q97" s="12">
        <v>0.516827735073366</v>
      </c>
    </row>
    <row r="98" spans="1:17">
      <c r="A98" s="10">
        <v>2008</v>
      </c>
      <c r="B98" s="10" t="s">
        <v>23</v>
      </c>
      <c r="C98" s="11">
        <v>875.372346</v>
      </c>
      <c r="D98" s="11">
        <v>837.70038</v>
      </c>
      <c r="E98" s="11">
        <v>71.14284</v>
      </c>
      <c r="F98" s="10">
        <v>3.21</v>
      </c>
      <c r="G98" s="10">
        <v>190.51846928</v>
      </c>
      <c r="H98" s="10">
        <v>2734</v>
      </c>
      <c r="I98" s="10">
        <v>1455</v>
      </c>
      <c r="J98" s="12">
        <v>0.53218727139722</v>
      </c>
      <c r="K98" s="10">
        <v>17696</v>
      </c>
      <c r="L98" s="10">
        <v>3.94064718141767</v>
      </c>
      <c r="M98" s="10">
        <v>1.49357767803587</v>
      </c>
      <c r="N98" s="10">
        <v>7221</v>
      </c>
      <c r="O98" s="10">
        <v>1788</v>
      </c>
      <c r="P98" s="10">
        <v>4834.7</v>
      </c>
      <c r="Q98" s="12">
        <v>0.369826462862225</v>
      </c>
    </row>
    <row r="99" spans="1:17">
      <c r="A99" s="10">
        <v>2008</v>
      </c>
      <c r="B99" s="10" t="s">
        <v>24</v>
      </c>
      <c r="C99" s="11">
        <v>1963.642284</v>
      </c>
      <c r="D99" s="11">
        <v>2285.951283</v>
      </c>
      <c r="E99" s="11">
        <v>94.325328</v>
      </c>
      <c r="F99" s="10">
        <v>5.88</v>
      </c>
      <c r="G99" s="10">
        <v>239.37425926</v>
      </c>
      <c r="H99" s="10">
        <v>3825</v>
      </c>
      <c r="I99" s="10">
        <v>2119</v>
      </c>
      <c r="J99" s="12">
        <v>0.553986928104575</v>
      </c>
      <c r="K99" s="10">
        <v>18654</v>
      </c>
      <c r="L99" s="10">
        <v>3.35530626082812</v>
      </c>
      <c r="M99" s="10">
        <v>1.39875529141319</v>
      </c>
      <c r="N99" s="10">
        <v>9979</v>
      </c>
      <c r="O99" s="10">
        <v>3935</v>
      </c>
      <c r="P99" s="10">
        <v>7134.2</v>
      </c>
      <c r="Q99" s="12">
        <v>0.55156850102324</v>
      </c>
    </row>
    <row r="100" spans="1:17">
      <c r="A100" s="10">
        <v>2008</v>
      </c>
      <c r="B100" s="10" t="s">
        <v>25</v>
      </c>
      <c r="C100" s="11">
        <v>44.95887</v>
      </c>
      <c r="D100" s="11">
        <v>0.070362</v>
      </c>
      <c r="E100" s="11">
        <v>0.037215</v>
      </c>
      <c r="F100" s="10">
        <v>3.43</v>
      </c>
      <c r="G100" s="10">
        <v>144.420506404667</v>
      </c>
      <c r="H100" s="10">
        <v>2141</v>
      </c>
      <c r="I100" s="10">
        <v>1897</v>
      </c>
      <c r="J100" s="12">
        <v>0.886034563288183</v>
      </c>
      <c r="K100" s="10">
        <v>69154</v>
      </c>
      <c r="L100" s="10">
        <v>0.993475269174767</v>
      </c>
      <c r="M100" s="10">
        <v>0.702144198556776</v>
      </c>
      <c r="N100" s="10">
        <v>10207</v>
      </c>
      <c r="O100" s="10">
        <v>6215.5</v>
      </c>
      <c r="P100" s="10">
        <v>14536.9</v>
      </c>
      <c r="Q100" s="12">
        <v>0.427567087893567</v>
      </c>
    </row>
    <row r="101" spans="1:17">
      <c r="A101" s="10">
        <v>2008</v>
      </c>
      <c r="B101" s="10" t="s">
        <v>26</v>
      </c>
      <c r="C101" s="11">
        <v>739.222542</v>
      </c>
      <c r="D101" s="11">
        <v>18.875997</v>
      </c>
      <c r="E101" s="11">
        <v>0.379404</v>
      </c>
      <c r="F101" s="10">
        <v>19.55</v>
      </c>
      <c r="G101" s="10">
        <v>462.05291306</v>
      </c>
      <c r="H101" s="10">
        <v>7762</v>
      </c>
      <c r="I101" s="10">
        <v>4215</v>
      </c>
      <c r="J101" s="12">
        <v>0.543030146869364</v>
      </c>
      <c r="K101" s="10">
        <v>39967</v>
      </c>
      <c r="L101" s="10">
        <v>1.49311826617763</v>
      </c>
      <c r="M101" s="10">
        <v>0.718424326638768</v>
      </c>
      <c r="N101" s="10">
        <v>22232</v>
      </c>
      <c r="O101" s="10">
        <v>17051.1</v>
      </c>
      <c r="P101" s="10">
        <v>30945.5</v>
      </c>
      <c r="Q101" s="12">
        <v>0.551004184776462</v>
      </c>
    </row>
    <row r="102" spans="1:17">
      <c r="A102" s="10">
        <v>2008</v>
      </c>
      <c r="B102" s="10" t="s">
        <v>27</v>
      </c>
      <c r="C102" s="11">
        <v>239.504382</v>
      </c>
      <c r="D102" s="11">
        <v>697.609098</v>
      </c>
      <c r="E102" s="11">
        <v>0.324747</v>
      </c>
      <c r="F102" s="10">
        <v>6.96</v>
      </c>
      <c r="G102" s="10">
        <v>338.754924335333</v>
      </c>
      <c r="H102" s="10">
        <v>5212</v>
      </c>
      <c r="I102" s="10">
        <v>3002</v>
      </c>
      <c r="J102" s="12">
        <v>0.575978511128166</v>
      </c>
      <c r="K102" s="10">
        <v>41061</v>
      </c>
      <c r="L102" s="10">
        <v>1.59154940349047</v>
      </c>
      <c r="M102" s="10">
        <v>0.709761987540287</v>
      </c>
      <c r="N102" s="10">
        <v>15107</v>
      </c>
      <c r="O102" s="10">
        <v>11512.7</v>
      </c>
      <c r="P102" s="10">
        <v>21284.6</v>
      </c>
      <c r="Q102" s="12">
        <v>0.54089341589694</v>
      </c>
    </row>
    <row r="103" spans="1:17">
      <c r="A103" s="10">
        <v>2008</v>
      </c>
      <c r="B103" s="10" t="s">
        <v>28</v>
      </c>
      <c r="C103" s="11">
        <v>855.40527</v>
      </c>
      <c r="D103" s="11">
        <v>377.442855</v>
      </c>
      <c r="E103" s="11">
        <v>0.866349</v>
      </c>
      <c r="F103" s="10">
        <v>5.92</v>
      </c>
      <c r="G103" s="10">
        <v>240.46416578</v>
      </c>
      <c r="H103" s="10">
        <v>6135</v>
      </c>
      <c r="I103" s="10">
        <v>2485</v>
      </c>
      <c r="J103" s="12">
        <v>0.405052974735126</v>
      </c>
      <c r="K103" s="10">
        <v>15535</v>
      </c>
      <c r="L103" s="10">
        <v>2.52649448690335</v>
      </c>
      <c r="M103" s="10">
        <v>0.874686111140296</v>
      </c>
      <c r="N103" s="10">
        <v>8325</v>
      </c>
      <c r="O103" s="10">
        <v>4194.5</v>
      </c>
      <c r="P103" s="10">
        <v>9517.7</v>
      </c>
      <c r="Q103" s="12">
        <v>0.440705212393751</v>
      </c>
    </row>
    <row r="104" spans="1:17">
      <c r="A104" s="10">
        <v>2008</v>
      </c>
      <c r="B104" s="10" t="s">
        <v>29</v>
      </c>
      <c r="C104" s="11">
        <v>144.684234</v>
      </c>
      <c r="D104" s="11">
        <v>1030.42125</v>
      </c>
      <c r="E104" s="11">
        <v>1.119474</v>
      </c>
      <c r="F104" s="10">
        <v>3.85</v>
      </c>
      <c r="G104" s="10">
        <v>137.0180454</v>
      </c>
      <c r="H104" s="10">
        <v>3639</v>
      </c>
      <c r="I104" s="10">
        <v>1929</v>
      </c>
      <c r="J104" s="12">
        <v>0.530090684253916</v>
      </c>
      <c r="K104" s="10">
        <v>30153</v>
      </c>
      <c r="L104" s="10">
        <v>1.25338961012825</v>
      </c>
      <c r="M104" s="10">
        <v>0.755044914835617</v>
      </c>
      <c r="N104" s="10">
        <v>8254</v>
      </c>
      <c r="O104" s="10">
        <v>5387</v>
      </c>
      <c r="P104" s="10">
        <v>10931.8</v>
      </c>
      <c r="Q104" s="12">
        <v>0.492782524378419</v>
      </c>
    </row>
    <row r="105" spans="1:17">
      <c r="A105" s="10">
        <v>2008</v>
      </c>
      <c r="B105" s="10" t="s">
        <v>30</v>
      </c>
      <c r="C105" s="11">
        <v>456.928317</v>
      </c>
      <c r="D105" s="11">
        <v>1110.454821</v>
      </c>
      <c r="E105" s="11">
        <v>1.870893</v>
      </c>
      <c r="F105" s="10">
        <v>3.24</v>
      </c>
      <c r="G105" s="10">
        <v>115.474014306667</v>
      </c>
      <c r="H105" s="10">
        <v>4400</v>
      </c>
      <c r="I105" s="10">
        <v>1820</v>
      </c>
      <c r="J105" s="12">
        <v>0.413636363636364</v>
      </c>
      <c r="K105" s="10">
        <v>15816</v>
      </c>
      <c r="L105" s="10">
        <v>1.66528243065771</v>
      </c>
      <c r="M105" s="10">
        <v>0.776297193620028</v>
      </c>
      <c r="N105" s="10">
        <v>5383</v>
      </c>
      <c r="O105" s="10">
        <v>3518.8</v>
      </c>
      <c r="P105" s="10">
        <v>6934.2</v>
      </c>
      <c r="Q105" s="12">
        <v>0.507455798794382</v>
      </c>
    </row>
    <row r="106" spans="1:17">
      <c r="A106" s="10">
        <v>2008</v>
      </c>
      <c r="B106" s="10" t="s">
        <v>31</v>
      </c>
      <c r="C106" s="11">
        <v>1129.378122</v>
      </c>
      <c r="D106" s="11">
        <v>67.014432</v>
      </c>
      <c r="E106" s="11">
        <v>31.775904</v>
      </c>
      <c r="F106" s="10">
        <v>13.53</v>
      </c>
      <c r="G106" s="10">
        <v>831.502465224093</v>
      </c>
      <c r="H106" s="10">
        <v>9417</v>
      </c>
      <c r="I106" s="10">
        <v>4483</v>
      </c>
      <c r="J106" s="12">
        <v>0.476053944993098</v>
      </c>
      <c r="K106" s="10">
        <v>28861</v>
      </c>
      <c r="L106" s="10">
        <v>3.06757297306186</v>
      </c>
      <c r="M106" s="10">
        <v>1.1277862629214</v>
      </c>
      <c r="N106" s="10">
        <v>30570</v>
      </c>
      <c r="O106" s="10">
        <v>14911.5</v>
      </c>
      <c r="P106" s="10">
        <v>27106.2</v>
      </c>
      <c r="Q106" s="12">
        <v>0.550113996059942</v>
      </c>
    </row>
    <row r="107" spans="1:17">
      <c r="A107" s="10">
        <v>2008</v>
      </c>
      <c r="B107" s="10" t="s">
        <v>32</v>
      </c>
      <c r="C107" s="11">
        <v>1136.617326</v>
      </c>
      <c r="D107" s="11">
        <v>284.276097</v>
      </c>
      <c r="E107" s="11">
        <v>27.180909</v>
      </c>
      <c r="F107" s="10">
        <v>6</v>
      </c>
      <c r="G107" s="10">
        <v>330.970280173333</v>
      </c>
      <c r="H107" s="10">
        <v>9429</v>
      </c>
      <c r="I107" s="10">
        <v>3397</v>
      </c>
      <c r="J107" s="12">
        <v>0.360271502810478</v>
      </c>
      <c r="K107" s="10">
        <v>18879</v>
      </c>
      <c r="L107" s="10">
        <v>1.86610366642422</v>
      </c>
      <c r="M107" s="10">
        <v>1.0699203310799</v>
      </c>
      <c r="N107" s="10">
        <v>18976</v>
      </c>
      <c r="O107" s="10">
        <v>9713.4</v>
      </c>
      <c r="P107" s="10">
        <v>17735.9</v>
      </c>
      <c r="Q107" s="12">
        <v>0.54766885244053</v>
      </c>
    </row>
    <row r="108" spans="1:17">
      <c r="A108" s="10">
        <v>2008</v>
      </c>
      <c r="B108" s="10" t="s">
        <v>33</v>
      </c>
      <c r="C108" s="11">
        <v>829.719477</v>
      </c>
      <c r="D108" s="11">
        <v>900.983007</v>
      </c>
      <c r="E108" s="11">
        <v>4.988754</v>
      </c>
      <c r="F108" s="10">
        <v>5.22</v>
      </c>
      <c r="G108" s="10">
        <v>212.05967566</v>
      </c>
      <c r="H108" s="10">
        <v>5711</v>
      </c>
      <c r="I108" s="10">
        <v>2581</v>
      </c>
      <c r="J108" s="12">
        <v>0.451934862545964</v>
      </c>
      <c r="K108" s="10">
        <v>20153</v>
      </c>
      <c r="L108" s="10">
        <v>1.84439813576865</v>
      </c>
      <c r="M108" s="10">
        <v>1.11719939117199</v>
      </c>
      <c r="N108" s="10">
        <v>12845</v>
      </c>
      <c r="O108" s="10">
        <v>5066.2</v>
      </c>
      <c r="P108" s="10">
        <v>11497.5</v>
      </c>
      <c r="Q108" s="12">
        <v>0.440634920634921</v>
      </c>
    </row>
    <row r="109" spans="1:17">
      <c r="A109" s="10">
        <v>2008</v>
      </c>
      <c r="B109" s="10" t="s">
        <v>34</v>
      </c>
      <c r="C109" s="11">
        <v>719.602101</v>
      </c>
      <c r="D109" s="11">
        <v>1318.006017</v>
      </c>
      <c r="E109" s="11">
        <v>0.622782</v>
      </c>
      <c r="F109" s="10">
        <v>4.18</v>
      </c>
      <c r="G109" s="10">
        <v>198.19500258</v>
      </c>
      <c r="H109" s="10">
        <v>6380</v>
      </c>
      <c r="I109" s="10">
        <v>2689</v>
      </c>
      <c r="J109" s="12">
        <v>0.421473354231975</v>
      </c>
      <c r="K109" s="10">
        <v>17758</v>
      </c>
      <c r="L109" s="10">
        <v>1.75279023099917</v>
      </c>
      <c r="M109" s="10">
        <v>1.09264729292322</v>
      </c>
      <c r="N109" s="10">
        <v>12355</v>
      </c>
      <c r="O109" s="10">
        <v>4870</v>
      </c>
      <c r="P109" s="10">
        <v>11307.4</v>
      </c>
      <c r="Q109" s="12">
        <v>0.430691405628173</v>
      </c>
    </row>
    <row r="110" spans="1:17">
      <c r="A110" s="10">
        <v>2008</v>
      </c>
      <c r="B110" s="10" t="s">
        <v>35</v>
      </c>
      <c r="C110" s="11">
        <v>462.239523</v>
      </c>
      <c r="D110" s="11">
        <v>1158.964839</v>
      </c>
      <c r="E110" s="11">
        <v>3.059073</v>
      </c>
      <c r="F110" s="10">
        <v>37.7</v>
      </c>
      <c r="G110" s="10">
        <v>356.939394833333</v>
      </c>
      <c r="H110" s="10">
        <v>9893</v>
      </c>
      <c r="I110" s="10">
        <v>6269</v>
      </c>
      <c r="J110" s="12">
        <v>0.633680380066714</v>
      </c>
      <c r="K110" s="10">
        <v>37543</v>
      </c>
      <c r="L110" s="10">
        <v>0.972475615415493</v>
      </c>
      <c r="M110" s="10">
        <v>0.639599827812621</v>
      </c>
      <c r="N110" s="10">
        <v>23476</v>
      </c>
      <c r="O110" s="10">
        <v>18519.4</v>
      </c>
      <c r="P110" s="10">
        <v>36704.2</v>
      </c>
      <c r="Q110" s="12">
        <v>0.504558061475254</v>
      </c>
    </row>
    <row r="111" spans="1:17">
      <c r="A111" s="10">
        <v>2008</v>
      </c>
      <c r="B111" s="10" t="s">
        <v>36</v>
      </c>
      <c r="C111" s="11">
        <v>601.77654</v>
      </c>
      <c r="D111" s="11">
        <v>1656.258138</v>
      </c>
      <c r="E111" s="11">
        <v>2.179719</v>
      </c>
      <c r="F111" s="10">
        <v>5.55</v>
      </c>
      <c r="G111" s="10">
        <v>95.7293392333333</v>
      </c>
      <c r="H111" s="10">
        <v>4816</v>
      </c>
      <c r="I111" s="10">
        <v>1838</v>
      </c>
      <c r="J111" s="12">
        <v>0.381644518272425</v>
      </c>
      <c r="K111" s="10">
        <v>13471</v>
      </c>
      <c r="L111" s="10">
        <v>1.48293427569683</v>
      </c>
      <c r="M111" s="10">
        <v>1.00644421724448</v>
      </c>
      <c r="N111" s="10">
        <v>6497</v>
      </c>
      <c r="O111" s="10">
        <v>2466</v>
      </c>
      <c r="P111" s="10">
        <v>6455.4</v>
      </c>
      <c r="Q111" s="12">
        <v>0.382005762617344</v>
      </c>
    </row>
    <row r="112" spans="1:17">
      <c r="A112" s="10">
        <v>2008</v>
      </c>
      <c r="B112" s="10" t="s">
        <v>37</v>
      </c>
      <c r="C112" s="11">
        <v>89.367903</v>
      </c>
      <c r="D112" s="11">
        <v>238.408587</v>
      </c>
      <c r="E112" s="11">
        <v>0.694305</v>
      </c>
      <c r="F112" s="10">
        <v>4.88</v>
      </c>
      <c r="G112" s="10">
        <v>35.58447656</v>
      </c>
      <c r="H112" s="10">
        <v>854</v>
      </c>
      <c r="I112" s="10">
        <v>410</v>
      </c>
      <c r="J112" s="12">
        <v>0.480093676814988</v>
      </c>
      <c r="K112" s="10">
        <v>17357</v>
      </c>
      <c r="L112" s="10">
        <v>2.41299766460975</v>
      </c>
      <c r="M112" s="10">
        <v>0.76964806401302</v>
      </c>
      <c r="N112" s="10">
        <v>1135</v>
      </c>
      <c r="O112" s="10">
        <v>412.6</v>
      </c>
      <c r="P112" s="10">
        <v>1474.7</v>
      </c>
      <c r="Q112" s="12">
        <v>0.279785719129314</v>
      </c>
    </row>
    <row r="113" spans="1:17">
      <c r="A113" s="10">
        <v>2008</v>
      </c>
      <c r="B113" s="10" t="s">
        <v>38</v>
      </c>
      <c r="C113" s="11">
        <v>370.893915</v>
      </c>
      <c r="D113" s="11">
        <v>424.34973</v>
      </c>
      <c r="E113" s="11">
        <v>0.965862</v>
      </c>
      <c r="F113" s="10">
        <v>2.85</v>
      </c>
      <c r="G113" s="10">
        <v>119.797925826667</v>
      </c>
      <c r="H113" s="10">
        <v>2839</v>
      </c>
      <c r="I113" s="10">
        <v>1419</v>
      </c>
      <c r="J113" s="12">
        <v>0.499823881648468</v>
      </c>
      <c r="K113" s="10">
        <v>20865</v>
      </c>
      <c r="L113" s="10">
        <v>2.03064540768992</v>
      </c>
      <c r="M113" s="10">
        <v>1.09704212221375</v>
      </c>
      <c r="N113" s="10">
        <v>6472</v>
      </c>
      <c r="O113" s="10">
        <v>2651.8</v>
      </c>
      <c r="P113" s="10">
        <v>5899.5</v>
      </c>
      <c r="Q113" s="12">
        <v>0.449495719976269</v>
      </c>
    </row>
    <row r="114" spans="1:17">
      <c r="A114" s="10">
        <v>2008</v>
      </c>
      <c r="B114" s="10" t="s">
        <v>39</v>
      </c>
      <c r="C114" s="11">
        <v>1170.692424</v>
      </c>
      <c r="D114" s="11">
        <v>1903.315923</v>
      </c>
      <c r="E114" s="11">
        <v>1637.365212</v>
      </c>
      <c r="F114" s="10">
        <v>5.8</v>
      </c>
      <c r="G114" s="10">
        <v>234.209016866667</v>
      </c>
      <c r="H114" s="10">
        <v>8138</v>
      </c>
      <c r="I114" s="10">
        <v>3044</v>
      </c>
      <c r="J114" s="12">
        <v>0.374047677562055</v>
      </c>
      <c r="K114" s="10">
        <v>15685</v>
      </c>
      <c r="L114" s="10">
        <v>1.83604064585587</v>
      </c>
      <c r="M114" s="10">
        <v>1.18726580015992</v>
      </c>
      <c r="N114" s="10">
        <v>15145</v>
      </c>
      <c r="O114" s="10">
        <v>5766.5</v>
      </c>
      <c r="P114" s="10">
        <v>12756.2</v>
      </c>
      <c r="Q114" s="12">
        <v>0.452054687132532</v>
      </c>
    </row>
    <row r="115" spans="1:17">
      <c r="A115" s="10">
        <v>2008</v>
      </c>
      <c r="B115" s="10" t="s">
        <v>40</v>
      </c>
      <c r="C115" s="11">
        <v>621.851202</v>
      </c>
      <c r="D115" s="11">
        <v>1025.42589</v>
      </c>
      <c r="E115" s="11">
        <v>30.363561</v>
      </c>
      <c r="F115" s="10">
        <v>2.75</v>
      </c>
      <c r="G115" s="10">
        <v>195.37364654</v>
      </c>
      <c r="H115" s="10">
        <v>3596</v>
      </c>
      <c r="I115" s="10">
        <v>1047</v>
      </c>
      <c r="J115" s="12">
        <v>0.291156840934371</v>
      </c>
      <c r="K115" s="10">
        <v>9697</v>
      </c>
      <c r="L115" s="10">
        <v>5.57493641147096</v>
      </c>
      <c r="M115" s="10">
        <v>2.02140105578542</v>
      </c>
      <c r="N115" s="10">
        <v>7084</v>
      </c>
      <c r="O115" s="10">
        <v>1437.7</v>
      </c>
      <c r="P115" s="10">
        <v>3504.5</v>
      </c>
      <c r="Q115" s="12">
        <v>0.410243972035954</v>
      </c>
    </row>
    <row r="116" spans="1:17">
      <c r="A116" s="10">
        <v>2008</v>
      </c>
      <c r="B116" s="10" t="s">
        <v>41</v>
      </c>
      <c r="C116" s="11">
        <v>804.43674</v>
      </c>
      <c r="D116" s="11">
        <v>2618.620506</v>
      </c>
      <c r="E116" s="11">
        <v>275.831532</v>
      </c>
      <c r="F116" s="10">
        <v>1.84</v>
      </c>
      <c r="G116" s="10">
        <v>150.48642102759</v>
      </c>
      <c r="H116" s="10">
        <v>4543</v>
      </c>
      <c r="I116" s="10">
        <v>1499</v>
      </c>
      <c r="J116" s="12">
        <v>0.329958177415805</v>
      </c>
      <c r="K116" s="10">
        <v>13286</v>
      </c>
      <c r="L116" s="10">
        <v>2.50118706624323</v>
      </c>
      <c r="M116" s="10">
        <v>1.24837948342918</v>
      </c>
      <c r="N116" s="10">
        <v>7511</v>
      </c>
      <c r="O116" s="10">
        <v>2476.1</v>
      </c>
      <c r="P116" s="10">
        <v>6016.6</v>
      </c>
      <c r="Q116" s="12">
        <v>0.411544726257355</v>
      </c>
    </row>
    <row r="117" spans="1:17">
      <c r="A117" s="10">
        <v>2008</v>
      </c>
      <c r="B117" s="10" t="s">
        <v>42</v>
      </c>
      <c r="C117" s="11">
        <v>566.507358</v>
      </c>
      <c r="D117" s="11">
        <v>876.39741</v>
      </c>
      <c r="E117" s="11">
        <v>550.124163</v>
      </c>
      <c r="F117" s="10">
        <v>2.22</v>
      </c>
      <c r="G117" s="10">
        <v>274.764677286667</v>
      </c>
      <c r="H117" s="10">
        <v>3718</v>
      </c>
      <c r="I117" s="10">
        <v>1565</v>
      </c>
      <c r="J117" s="12">
        <v>0.420925228617536</v>
      </c>
      <c r="K117" s="10">
        <v>19331</v>
      </c>
      <c r="L117" s="10">
        <v>3.82797900870276</v>
      </c>
      <c r="M117" s="10">
        <v>1.03332497422609</v>
      </c>
      <c r="N117" s="10">
        <v>7417</v>
      </c>
      <c r="O117" s="10">
        <v>3666.1</v>
      </c>
      <c r="P117" s="10">
        <v>7177.8</v>
      </c>
      <c r="Q117" s="12">
        <v>0.510755384658252</v>
      </c>
    </row>
    <row r="118" spans="1:17">
      <c r="A118" s="10">
        <v>2008</v>
      </c>
      <c r="B118" s="10" t="s">
        <v>43</v>
      </c>
      <c r="C118" s="11">
        <v>570.09339</v>
      </c>
      <c r="D118" s="11">
        <v>355.102128</v>
      </c>
      <c r="E118" s="11">
        <v>1517.034087</v>
      </c>
      <c r="F118" s="10">
        <v>1.41</v>
      </c>
      <c r="G118" s="10">
        <v>126.462776453333</v>
      </c>
      <c r="H118" s="10">
        <v>2551</v>
      </c>
      <c r="I118" s="10">
        <v>856</v>
      </c>
      <c r="J118" s="12">
        <v>0.335554684437475</v>
      </c>
      <c r="K118" s="10">
        <v>12048</v>
      </c>
      <c r="L118" s="10">
        <v>4.11702889127628</v>
      </c>
      <c r="M118" s="10">
        <v>1.74040433636097</v>
      </c>
      <c r="N118" s="10">
        <v>5346</v>
      </c>
      <c r="O118" s="10">
        <v>1429.9</v>
      </c>
      <c r="P118" s="10">
        <v>3071.7</v>
      </c>
      <c r="Q118" s="12">
        <v>0.465507699319595</v>
      </c>
    </row>
    <row r="119" spans="1:17">
      <c r="A119" s="10">
        <v>2008</v>
      </c>
      <c r="B119" s="10" t="s">
        <v>44</v>
      </c>
      <c r="C119" s="11">
        <v>64.518264</v>
      </c>
      <c r="D119" s="11">
        <v>60.310728</v>
      </c>
      <c r="E119" s="11">
        <v>4584.698604</v>
      </c>
      <c r="F119" s="10">
        <v>0.31</v>
      </c>
      <c r="G119" s="10">
        <v>32.1191000526667</v>
      </c>
      <c r="H119" s="10">
        <v>554</v>
      </c>
      <c r="I119" s="10">
        <v>226</v>
      </c>
      <c r="J119" s="12">
        <v>0.407942238267148</v>
      </c>
      <c r="K119" s="10">
        <v>16220</v>
      </c>
      <c r="L119" s="10">
        <v>3.58112387698368</v>
      </c>
      <c r="M119" s="10">
        <v>2.54097446761066</v>
      </c>
      <c r="N119" s="10">
        <v>2279</v>
      </c>
      <c r="O119" s="10">
        <v>350.3</v>
      </c>
      <c r="P119" s="10">
        <v>896.9</v>
      </c>
      <c r="Q119" s="12">
        <v>0.390567510313301</v>
      </c>
    </row>
    <row r="120" spans="1:17">
      <c r="A120" s="10">
        <v>2008</v>
      </c>
      <c r="B120" s="10" t="s">
        <v>45</v>
      </c>
      <c r="C120" s="11">
        <v>127.355733</v>
      </c>
      <c r="D120" s="11">
        <v>6.696774</v>
      </c>
      <c r="E120" s="11">
        <v>355.18905</v>
      </c>
      <c r="F120" s="10">
        <v>1.45</v>
      </c>
      <c r="G120" s="10">
        <v>109.471856693333</v>
      </c>
      <c r="H120" s="10">
        <v>618</v>
      </c>
      <c r="I120" s="10">
        <v>278</v>
      </c>
      <c r="J120" s="12">
        <v>0.449838187702265</v>
      </c>
      <c r="K120" s="10">
        <v>18554</v>
      </c>
      <c r="L120" s="10">
        <v>9.60953798220974</v>
      </c>
      <c r="M120" s="10">
        <v>2.8344452247191</v>
      </c>
      <c r="N120" s="10">
        <v>3229</v>
      </c>
      <c r="O120" s="10">
        <v>558.1</v>
      </c>
      <c r="P120" s="10">
        <v>1139.2</v>
      </c>
      <c r="Q120" s="12">
        <v>0.489905196629214</v>
      </c>
    </row>
    <row r="121" spans="1:17">
      <c r="A121" s="10">
        <v>2008</v>
      </c>
      <c r="B121" s="10" t="s">
        <v>46</v>
      </c>
      <c r="C121" s="11">
        <v>713.642139</v>
      </c>
      <c r="D121" s="11">
        <v>170.201646</v>
      </c>
      <c r="E121" s="11">
        <v>3930.222708</v>
      </c>
      <c r="F121" s="10">
        <v>3.42</v>
      </c>
      <c r="G121" s="10">
        <v>179.218055786667</v>
      </c>
      <c r="H121" s="10">
        <v>2131</v>
      </c>
      <c r="I121" s="10">
        <v>845</v>
      </c>
      <c r="J121" s="12">
        <v>0.396527451900516</v>
      </c>
      <c r="K121" s="10">
        <v>19605</v>
      </c>
      <c r="L121" s="10">
        <v>4.32632602985315</v>
      </c>
      <c r="M121" s="10">
        <v>1.70645745322873</v>
      </c>
      <c r="N121" s="10">
        <v>7069</v>
      </c>
      <c r="O121" s="10">
        <v>1991.8</v>
      </c>
      <c r="P121" s="10">
        <v>4142.5</v>
      </c>
      <c r="Q121" s="12">
        <v>0.48082076041038</v>
      </c>
    </row>
    <row r="122" spans="1:17">
      <c r="A122" s="10">
        <v>2009</v>
      </c>
      <c r="B122" s="10" t="s">
        <v>17</v>
      </c>
      <c r="C122" s="11">
        <v>47.997324</v>
      </c>
      <c r="D122" s="11">
        <v>78.220134</v>
      </c>
      <c r="E122" s="11">
        <v>5.450391</v>
      </c>
      <c r="F122" s="10">
        <v>6.17</v>
      </c>
      <c r="G122" s="10">
        <v>95.5791156133333</v>
      </c>
      <c r="H122" s="10">
        <v>1860</v>
      </c>
      <c r="I122" s="10">
        <v>1581</v>
      </c>
      <c r="J122" s="12">
        <v>0.85</v>
      </c>
      <c r="K122" s="10">
        <v>71059</v>
      </c>
      <c r="L122" s="10">
        <v>0.740871688125118</v>
      </c>
      <c r="M122" s="10">
        <v>0.50926679533986</v>
      </c>
      <c r="N122" s="10">
        <v>6570</v>
      </c>
      <c r="O122" s="10">
        <v>2736.4</v>
      </c>
      <c r="P122" s="10">
        <v>12900.9</v>
      </c>
      <c r="Q122" s="12">
        <v>0.212109232689192</v>
      </c>
    </row>
    <row r="123" spans="1:17">
      <c r="A123" s="10">
        <v>2009</v>
      </c>
      <c r="B123" s="10" t="s">
        <v>18</v>
      </c>
      <c r="C123" s="11">
        <v>67.868118</v>
      </c>
      <c r="D123" s="11">
        <v>3.450186</v>
      </c>
      <c r="E123" s="11">
        <v>0.340245</v>
      </c>
      <c r="F123" s="10">
        <v>1.74</v>
      </c>
      <c r="G123" s="10">
        <v>98.0549645933333</v>
      </c>
      <c r="H123" s="10">
        <v>1228</v>
      </c>
      <c r="I123" s="10">
        <v>958</v>
      </c>
      <c r="J123" s="12">
        <v>0.780130293159609</v>
      </c>
      <c r="K123" s="10">
        <v>47497</v>
      </c>
      <c r="L123" s="10">
        <v>1.71737012388492</v>
      </c>
      <c r="M123" s="10">
        <v>1.02879361076082</v>
      </c>
      <c r="N123" s="10">
        <v>5874</v>
      </c>
      <c r="O123" s="10">
        <v>2808.7</v>
      </c>
      <c r="P123" s="10">
        <v>5709.6</v>
      </c>
      <c r="Q123" s="12">
        <v>0.491925879220961</v>
      </c>
    </row>
    <row r="124" spans="1:17">
      <c r="A124" s="10">
        <v>2009</v>
      </c>
      <c r="B124" s="10" t="s">
        <v>19</v>
      </c>
      <c r="C124" s="11">
        <v>875.525571</v>
      </c>
      <c r="D124" s="11">
        <v>420.036948</v>
      </c>
      <c r="E124" s="11">
        <v>359.911071</v>
      </c>
      <c r="F124" s="10">
        <v>6.09</v>
      </c>
      <c r="G124" s="10">
        <v>511.055907766667</v>
      </c>
      <c r="H124" s="10">
        <v>7034</v>
      </c>
      <c r="I124" s="10">
        <v>3077</v>
      </c>
      <c r="J124" s="12">
        <v>0.437446687517771</v>
      </c>
      <c r="K124" s="10">
        <v>21831</v>
      </c>
      <c r="L124" s="10">
        <v>3.3387289899762</v>
      </c>
      <c r="M124" s="10">
        <v>1.66062364031907</v>
      </c>
      <c r="N124" s="10">
        <v>25419</v>
      </c>
      <c r="O124" s="10">
        <v>7164.4</v>
      </c>
      <c r="P124" s="10">
        <v>15306.9</v>
      </c>
      <c r="Q124" s="12">
        <v>0.468050356375229</v>
      </c>
    </row>
    <row r="125" spans="1:17">
      <c r="A125" s="10">
        <v>2009</v>
      </c>
      <c r="B125" s="10" t="s">
        <v>20</v>
      </c>
      <c r="C125" s="11">
        <v>560.095236</v>
      </c>
      <c r="D125" s="11">
        <v>366.058197</v>
      </c>
      <c r="E125" s="11">
        <v>559.239552</v>
      </c>
      <c r="F125" s="10">
        <v>2.8</v>
      </c>
      <c r="G125" s="10">
        <v>589.83649228</v>
      </c>
      <c r="H125" s="10">
        <v>3427</v>
      </c>
      <c r="I125" s="10">
        <v>1576</v>
      </c>
      <c r="J125" s="12">
        <v>0.459877443828421</v>
      </c>
      <c r="K125" s="10">
        <v>20906</v>
      </c>
      <c r="L125" s="10">
        <v>8.25223141026358</v>
      </c>
      <c r="M125" s="10">
        <v>2.17919301583748</v>
      </c>
      <c r="N125" s="10">
        <v>15576</v>
      </c>
      <c r="O125" s="10">
        <v>4091.2</v>
      </c>
      <c r="P125" s="10">
        <v>7147.6</v>
      </c>
      <c r="Q125" s="12">
        <v>0.572387934411551</v>
      </c>
    </row>
    <row r="126" spans="1:17">
      <c r="A126" s="10">
        <v>2009</v>
      </c>
      <c r="B126" s="10" t="s">
        <v>21</v>
      </c>
      <c r="C126" s="11">
        <v>1319.874759</v>
      </c>
      <c r="D126" s="11">
        <v>1764.78174</v>
      </c>
      <c r="E126" s="11">
        <v>5568.286176</v>
      </c>
      <c r="F126" s="10">
        <v>2.96</v>
      </c>
      <c r="G126" s="10">
        <v>476.987634066667</v>
      </c>
      <c r="H126" s="10">
        <v>2458</v>
      </c>
      <c r="I126" s="10">
        <v>1313</v>
      </c>
      <c r="J126" s="12">
        <v>0.534174125305126</v>
      </c>
      <c r="K126" s="10">
        <v>28982</v>
      </c>
      <c r="L126" s="10">
        <v>6.71416393213405</v>
      </c>
      <c r="M126" s="10">
        <v>2.15984910334732</v>
      </c>
      <c r="N126" s="10">
        <v>15344</v>
      </c>
      <c r="O126" s="10">
        <v>2916</v>
      </c>
      <c r="P126" s="10">
        <v>7104.2</v>
      </c>
      <c r="Q126" s="12">
        <v>0.410461417189831</v>
      </c>
    </row>
    <row r="127" spans="1:17">
      <c r="A127" s="10">
        <v>2009</v>
      </c>
      <c r="B127" s="10" t="s">
        <v>22</v>
      </c>
      <c r="C127" s="11">
        <v>720.564984</v>
      </c>
      <c r="D127" s="11">
        <v>511.530714</v>
      </c>
      <c r="E127" s="11">
        <v>74.265372</v>
      </c>
      <c r="F127" s="10">
        <v>8.41</v>
      </c>
      <c r="G127" s="10">
        <v>456.759896013333</v>
      </c>
      <c r="H127" s="10">
        <v>4341</v>
      </c>
      <c r="I127" s="10">
        <v>2620</v>
      </c>
      <c r="J127" s="12">
        <v>0.603547569684404</v>
      </c>
      <c r="K127" s="10">
        <v>29611</v>
      </c>
      <c r="L127" s="10">
        <v>3.56406513895716</v>
      </c>
      <c r="M127" s="10">
        <v>1.4912958324555</v>
      </c>
      <c r="N127" s="10">
        <v>19112</v>
      </c>
      <c r="O127" s="10">
        <v>6539.3</v>
      </c>
      <c r="P127" s="10">
        <v>12815.7</v>
      </c>
      <c r="Q127" s="12">
        <v>0.510256950459202</v>
      </c>
    </row>
    <row r="128" spans="1:17">
      <c r="A128" s="10">
        <v>2009</v>
      </c>
      <c r="B128" s="10" t="s">
        <v>23</v>
      </c>
      <c r="C128" s="11">
        <v>877.802112</v>
      </c>
      <c r="D128" s="11">
        <v>833.607576</v>
      </c>
      <c r="E128" s="11">
        <v>71.461224</v>
      </c>
      <c r="F128" s="10">
        <v>3.48</v>
      </c>
      <c r="G128" s="10">
        <v>201.97765382</v>
      </c>
      <c r="H128" s="10">
        <v>2740</v>
      </c>
      <c r="I128" s="10">
        <v>1461</v>
      </c>
      <c r="J128" s="12">
        <v>0.533211678832117</v>
      </c>
      <c r="K128" s="10">
        <v>19858</v>
      </c>
      <c r="L128" s="10">
        <v>3.7163769378818</v>
      </c>
      <c r="M128" s="10">
        <v>1.4164274674321</v>
      </c>
      <c r="N128" s="10">
        <v>7698</v>
      </c>
      <c r="O128" s="10">
        <v>2055.1</v>
      </c>
      <c r="P128" s="10">
        <v>5434.8</v>
      </c>
      <c r="Q128" s="12">
        <v>0.378137189960992</v>
      </c>
    </row>
    <row r="129" spans="1:17">
      <c r="A129" s="10">
        <v>2009</v>
      </c>
      <c r="B129" s="10" t="s">
        <v>24</v>
      </c>
      <c r="C129" s="11">
        <v>1964.178522</v>
      </c>
      <c r="D129" s="11">
        <v>2285.014779</v>
      </c>
      <c r="E129" s="11">
        <v>92.041614</v>
      </c>
      <c r="F129" s="10">
        <v>6.42</v>
      </c>
      <c r="G129" s="10">
        <v>274.61244746</v>
      </c>
      <c r="H129" s="10">
        <v>3826</v>
      </c>
      <c r="I129" s="10">
        <v>2123</v>
      </c>
      <c r="J129" s="12">
        <v>0.55488761108207</v>
      </c>
      <c r="K129" s="10">
        <v>18871</v>
      </c>
      <c r="L129" s="10">
        <v>3.80407607059247</v>
      </c>
      <c r="M129" s="10">
        <v>1.44994389726967</v>
      </c>
      <c r="N129" s="10">
        <v>10467</v>
      </c>
      <c r="O129" s="10">
        <v>3668.1</v>
      </c>
      <c r="P129" s="10">
        <v>7218.9</v>
      </c>
      <c r="Q129" s="12">
        <v>0.508124506503761</v>
      </c>
    </row>
    <row r="130" spans="1:17">
      <c r="A130" s="10">
        <v>2009</v>
      </c>
      <c r="B130" s="10" t="s">
        <v>25</v>
      </c>
      <c r="C130" s="11">
        <v>44.466885</v>
      </c>
      <c r="D130" s="11">
        <v>0.122265</v>
      </c>
      <c r="E130" s="11">
        <v>0.035046</v>
      </c>
      <c r="F130" s="10">
        <v>11.69</v>
      </c>
      <c r="G130" s="10">
        <v>142.481752401716</v>
      </c>
      <c r="H130" s="10">
        <v>2210</v>
      </c>
      <c r="I130" s="10">
        <v>1958</v>
      </c>
      <c r="J130" s="12">
        <v>0.885972850678733</v>
      </c>
      <c r="K130" s="10">
        <v>72363</v>
      </c>
      <c r="L130" s="10">
        <v>0.905082785354941</v>
      </c>
      <c r="M130" s="10">
        <v>0.658539993901819</v>
      </c>
      <c r="N130" s="10">
        <v>10367</v>
      </c>
      <c r="O130" s="10">
        <v>6184.8</v>
      </c>
      <c r="P130" s="10">
        <v>15742.4</v>
      </c>
      <c r="Q130" s="12">
        <v>0.392875292204492</v>
      </c>
    </row>
    <row r="131" spans="1:17">
      <c r="A131" s="10">
        <v>2009</v>
      </c>
      <c r="B131" s="10" t="s">
        <v>26</v>
      </c>
      <c r="C131" s="11">
        <v>734.903424</v>
      </c>
      <c r="D131" s="11">
        <v>18.953937</v>
      </c>
      <c r="E131" s="11">
        <v>0.386937</v>
      </c>
      <c r="F131" s="10">
        <v>21.5</v>
      </c>
      <c r="G131" s="10">
        <v>485.96631998</v>
      </c>
      <c r="H131" s="10">
        <v>7810</v>
      </c>
      <c r="I131" s="10">
        <v>4343</v>
      </c>
      <c r="J131" s="12">
        <v>0.556081946222791</v>
      </c>
      <c r="K131" s="10">
        <v>44272</v>
      </c>
      <c r="L131" s="10">
        <v>1.40975443618969</v>
      </c>
      <c r="M131" s="10">
        <v>0.687781571549996</v>
      </c>
      <c r="N131" s="10">
        <v>23709</v>
      </c>
      <c r="O131" s="10">
        <v>18667.2</v>
      </c>
      <c r="P131" s="10">
        <v>34471.7</v>
      </c>
      <c r="Q131" s="12">
        <v>0.541522466254928</v>
      </c>
    </row>
    <row r="132" spans="1:17">
      <c r="A132" s="10">
        <v>2009</v>
      </c>
      <c r="B132" s="10" t="s">
        <v>27</v>
      </c>
      <c r="C132" s="11">
        <v>237.067029</v>
      </c>
      <c r="D132" s="11">
        <v>697.747446</v>
      </c>
      <c r="E132" s="11">
        <v>0.309762</v>
      </c>
      <c r="F132" s="10">
        <v>7.44</v>
      </c>
      <c r="G132" s="10">
        <v>351.968719158667</v>
      </c>
      <c r="H132" s="10">
        <v>5276</v>
      </c>
      <c r="I132" s="10">
        <v>3055</v>
      </c>
      <c r="J132" s="12">
        <v>0.579037149355572</v>
      </c>
      <c r="K132" s="10">
        <v>43543</v>
      </c>
      <c r="L132" s="10">
        <v>1.54144408991388</v>
      </c>
      <c r="M132" s="10">
        <v>0.681755475459518</v>
      </c>
      <c r="N132" s="10">
        <v>15567</v>
      </c>
      <c r="O132" s="10">
        <v>11882.4</v>
      </c>
      <c r="P132" s="10">
        <v>22833.7</v>
      </c>
      <c r="Q132" s="12">
        <v>0.520388723684729</v>
      </c>
    </row>
    <row r="133" spans="1:17">
      <c r="A133" s="10">
        <v>2009</v>
      </c>
      <c r="B133" s="10" t="s">
        <v>28</v>
      </c>
      <c r="C133" s="11">
        <v>850.656906</v>
      </c>
      <c r="D133" s="11">
        <v>377.929134</v>
      </c>
      <c r="E133" s="11">
        <v>0.951408</v>
      </c>
      <c r="F133" s="10">
        <v>6.73</v>
      </c>
      <c r="G133" s="10">
        <v>273.2083028</v>
      </c>
      <c r="H133" s="10">
        <v>6131</v>
      </c>
      <c r="I133" s="10">
        <v>2581</v>
      </c>
      <c r="J133" s="12">
        <v>0.420975371065079</v>
      </c>
      <c r="K133" s="10">
        <v>17715</v>
      </c>
      <c r="L133" s="10">
        <v>2.51464193949212</v>
      </c>
      <c r="M133" s="10">
        <v>0.818798494206007</v>
      </c>
      <c r="N133" s="10">
        <v>8896</v>
      </c>
      <c r="O133" s="10">
        <v>4918.7</v>
      </c>
      <c r="P133" s="10">
        <v>10864.7</v>
      </c>
      <c r="Q133" s="12">
        <v>0.452723038832181</v>
      </c>
    </row>
    <row r="134" spans="1:17">
      <c r="A134" s="10">
        <v>2009</v>
      </c>
      <c r="B134" s="10" t="s">
        <v>29</v>
      </c>
      <c r="C134" s="11">
        <v>142.248501</v>
      </c>
      <c r="D134" s="11">
        <v>1031.479443</v>
      </c>
      <c r="E134" s="11">
        <v>1.044585</v>
      </c>
      <c r="F134" s="10">
        <v>4.13</v>
      </c>
      <c r="G134" s="10">
        <v>161.88932489</v>
      </c>
      <c r="H134" s="10">
        <v>3666</v>
      </c>
      <c r="I134" s="10">
        <v>2020</v>
      </c>
      <c r="J134" s="12">
        <v>0.55100927441353</v>
      </c>
      <c r="K134" s="10">
        <v>33999</v>
      </c>
      <c r="L134" s="10">
        <v>1.3036561542426</v>
      </c>
      <c r="M134" s="10">
        <v>0.717984232692602</v>
      </c>
      <c r="N134" s="10">
        <v>8916</v>
      </c>
      <c r="O134" s="10">
        <v>6129.1</v>
      </c>
      <c r="P134" s="10">
        <v>12418.1</v>
      </c>
      <c r="Q134" s="12">
        <v>0.493561817025149</v>
      </c>
    </row>
    <row r="135" spans="1:17">
      <c r="A135" s="10">
        <v>2009</v>
      </c>
      <c r="B135" s="10" t="s">
        <v>30</v>
      </c>
      <c r="C135" s="11">
        <v>458.737965</v>
      </c>
      <c r="D135" s="11">
        <v>1106.242326</v>
      </c>
      <c r="E135" s="11">
        <v>1.821222</v>
      </c>
      <c r="F135" s="10">
        <v>3.76</v>
      </c>
      <c r="G135" s="10">
        <v>117.126888333333</v>
      </c>
      <c r="H135" s="10">
        <v>4432</v>
      </c>
      <c r="I135" s="10">
        <v>1914</v>
      </c>
      <c r="J135" s="12">
        <v>0.431859205776173</v>
      </c>
      <c r="K135" s="10">
        <v>17277</v>
      </c>
      <c r="L135" s="10">
        <v>1.53508372651813</v>
      </c>
      <c r="M135" s="10">
        <v>0.761861074705111</v>
      </c>
      <c r="N135" s="10">
        <v>5813</v>
      </c>
      <c r="O135" s="10">
        <v>3882.7</v>
      </c>
      <c r="P135" s="10">
        <v>7630</v>
      </c>
      <c r="Q135" s="12">
        <v>0.508872870249017</v>
      </c>
    </row>
    <row r="136" spans="1:17">
      <c r="A136" s="10">
        <v>2009</v>
      </c>
      <c r="B136" s="10" t="s">
        <v>31</v>
      </c>
      <c r="C136" s="11">
        <v>1124.11521</v>
      </c>
      <c r="D136" s="11">
        <v>66.450771</v>
      </c>
      <c r="E136" s="11">
        <v>31.54599</v>
      </c>
      <c r="F136" s="10">
        <v>14.7</v>
      </c>
      <c r="G136" s="10">
        <v>879.81582969144</v>
      </c>
      <c r="H136" s="10">
        <v>9470</v>
      </c>
      <c r="I136" s="10">
        <v>4576</v>
      </c>
      <c r="J136" s="12">
        <v>0.483210137275607</v>
      </c>
      <c r="K136" s="10">
        <v>31282</v>
      </c>
      <c r="L136" s="10">
        <v>2.97830739076613</v>
      </c>
      <c r="M136" s="10">
        <v>1.09746520067161</v>
      </c>
      <c r="N136" s="10">
        <v>32420</v>
      </c>
      <c r="O136" s="10">
        <v>15919.7</v>
      </c>
      <c r="P136" s="10">
        <v>29540.8</v>
      </c>
      <c r="Q136" s="12">
        <v>0.538905513730163</v>
      </c>
    </row>
    <row r="137" spans="1:17">
      <c r="A137" s="10">
        <v>2009</v>
      </c>
      <c r="B137" s="10" t="s">
        <v>32</v>
      </c>
      <c r="C137" s="11">
        <v>1132.669404</v>
      </c>
      <c r="D137" s="11">
        <v>284.472153</v>
      </c>
      <c r="E137" s="11">
        <v>27.807624</v>
      </c>
      <c r="F137" s="10">
        <v>6.29</v>
      </c>
      <c r="G137" s="10">
        <v>471.888922846667</v>
      </c>
      <c r="H137" s="10">
        <v>9487</v>
      </c>
      <c r="I137" s="10">
        <v>3577</v>
      </c>
      <c r="J137" s="12">
        <v>0.377042268367239</v>
      </c>
      <c r="K137" s="10">
        <v>20280</v>
      </c>
      <c r="L137" s="10">
        <v>2.46018936888935</v>
      </c>
      <c r="M137" s="10">
        <v>1.02971690735624</v>
      </c>
      <c r="N137" s="10">
        <v>19751</v>
      </c>
      <c r="O137" s="10">
        <v>10324.6</v>
      </c>
      <c r="P137" s="10">
        <v>19181</v>
      </c>
      <c r="Q137" s="12">
        <v>0.538272248579323</v>
      </c>
    </row>
    <row r="138" spans="1:17">
      <c r="A138" s="10">
        <v>2009</v>
      </c>
      <c r="B138" s="10" t="s">
        <v>33</v>
      </c>
      <c r="C138" s="11">
        <v>828.388179</v>
      </c>
      <c r="D138" s="11">
        <v>899.170497</v>
      </c>
      <c r="E138" s="11">
        <v>5.122476</v>
      </c>
      <c r="F138" s="10">
        <v>5.49</v>
      </c>
      <c r="G138" s="10">
        <v>232.693534966667</v>
      </c>
      <c r="H138" s="10">
        <v>5720</v>
      </c>
      <c r="I138" s="10">
        <v>2631</v>
      </c>
      <c r="J138" s="12">
        <v>0.459965034965035</v>
      </c>
      <c r="K138" s="10">
        <v>23081</v>
      </c>
      <c r="L138" s="10">
        <v>1.76388546908124</v>
      </c>
      <c r="M138" s="10">
        <v>1.03910673812357</v>
      </c>
      <c r="N138" s="10">
        <v>13708</v>
      </c>
      <c r="O138" s="10">
        <v>6035.5</v>
      </c>
      <c r="P138" s="10">
        <v>13192.1</v>
      </c>
      <c r="Q138" s="12">
        <v>0.4575086604862</v>
      </c>
    </row>
    <row r="139" spans="1:17">
      <c r="A139" s="10">
        <v>2009</v>
      </c>
      <c r="B139" s="10" t="s">
        <v>34</v>
      </c>
      <c r="C139" s="11">
        <v>728.178588</v>
      </c>
      <c r="D139" s="11">
        <v>1307.416437</v>
      </c>
      <c r="E139" s="11">
        <v>0.662535</v>
      </c>
      <c r="F139" s="10">
        <v>4.29</v>
      </c>
      <c r="G139" s="10">
        <v>212.11892058</v>
      </c>
      <c r="H139" s="10">
        <v>6406</v>
      </c>
      <c r="I139" s="10">
        <v>2767</v>
      </c>
      <c r="J139" s="12">
        <v>0.431938807368092</v>
      </c>
      <c r="K139" s="10">
        <v>19979</v>
      </c>
      <c r="L139" s="10">
        <v>1.66070807168358</v>
      </c>
      <c r="M139" s="10">
        <v>1.04370224226481</v>
      </c>
      <c r="N139" s="10">
        <v>13331</v>
      </c>
      <c r="O139" s="10">
        <v>5494.7</v>
      </c>
      <c r="P139" s="10">
        <v>12772.8</v>
      </c>
      <c r="Q139" s="12">
        <v>0.430187586120506</v>
      </c>
    </row>
    <row r="140" spans="1:17">
      <c r="A140" s="10">
        <v>2009</v>
      </c>
      <c r="B140" s="10" t="s">
        <v>35</v>
      </c>
      <c r="C140" s="11">
        <v>460.169757</v>
      </c>
      <c r="D140" s="11">
        <v>1158.492888</v>
      </c>
      <c r="E140" s="11">
        <v>2.885805</v>
      </c>
      <c r="F140" s="10">
        <v>40.16</v>
      </c>
      <c r="G140" s="10">
        <v>394.88333888</v>
      </c>
      <c r="H140" s="10">
        <v>10130</v>
      </c>
      <c r="I140" s="10">
        <v>6423</v>
      </c>
      <c r="J140" s="12">
        <v>0.634057255676209</v>
      </c>
      <c r="K140" s="10">
        <v>39418</v>
      </c>
      <c r="L140" s="10">
        <v>1.00059886146354</v>
      </c>
      <c r="M140" s="10">
        <v>0.624710184037887</v>
      </c>
      <c r="N140" s="10">
        <v>24654</v>
      </c>
      <c r="O140" s="10">
        <v>19439.7</v>
      </c>
      <c r="P140" s="10">
        <v>39464.7</v>
      </c>
      <c r="Q140" s="12">
        <v>0.492584512234985</v>
      </c>
    </row>
    <row r="141" spans="1:17">
      <c r="A141" s="10">
        <v>2009</v>
      </c>
      <c r="B141" s="10" t="s">
        <v>36</v>
      </c>
      <c r="C141" s="11">
        <v>595.310994</v>
      </c>
      <c r="D141" s="11">
        <v>1661.673816</v>
      </c>
      <c r="E141" s="11">
        <v>2.173752</v>
      </c>
      <c r="F141" s="10">
        <v>5.78</v>
      </c>
      <c r="G141" s="10">
        <v>109.702149286667</v>
      </c>
      <c r="H141" s="10">
        <v>4856</v>
      </c>
      <c r="I141" s="10">
        <v>1904</v>
      </c>
      <c r="J141" s="12">
        <v>0.392092257001647</v>
      </c>
      <c r="K141" s="10">
        <v>14708</v>
      </c>
      <c r="L141" s="10">
        <v>1.54229848987989</v>
      </c>
      <c r="M141" s="10">
        <v>0.994671652912314</v>
      </c>
      <c r="N141" s="10">
        <v>7075</v>
      </c>
      <c r="O141" s="10">
        <v>2715.3</v>
      </c>
      <c r="P141" s="10">
        <v>7112.9</v>
      </c>
      <c r="Q141" s="12">
        <v>0.381743030268948</v>
      </c>
    </row>
    <row r="142" spans="1:17">
      <c r="A142" s="10">
        <v>2009</v>
      </c>
      <c r="B142" s="10" t="s">
        <v>37</v>
      </c>
      <c r="C142" s="11">
        <v>86.264136</v>
      </c>
      <c r="D142" s="11">
        <v>241.324848</v>
      </c>
      <c r="E142" s="11">
        <v>0.617661</v>
      </c>
      <c r="F142" s="10">
        <v>4.89</v>
      </c>
      <c r="G142" s="10">
        <v>37.7946446533333</v>
      </c>
      <c r="H142" s="10">
        <v>864</v>
      </c>
      <c r="I142" s="10">
        <v>425</v>
      </c>
      <c r="J142" s="12">
        <v>0.491898148148148</v>
      </c>
      <c r="K142" s="10">
        <v>18860</v>
      </c>
      <c r="L142" s="10">
        <v>2.33257079882326</v>
      </c>
      <c r="M142" s="10">
        <v>0.760970190705425</v>
      </c>
      <c r="N142" s="10">
        <v>1233</v>
      </c>
      <c r="O142" s="10">
        <v>432.4</v>
      </c>
      <c r="P142" s="10">
        <v>1620.3</v>
      </c>
      <c r="Q142" s="12">
        <v>0.266864160957847</v>
      </c>
    </row>
    <row r="143" spans="1:17">
      <c r="A143" s="10">
        <v>2009</v>
      </c>
      <c r="B143" s="10" t="s">
        <v>38</v>
      </c>
      <c r="C143" s="11">
        <v>365.313996</v>
      </c>
      <c r="D143" s="11">
        <v>428.572134</v>
      </c>
      <c r="E143" s="11">
        <v>0.930672</v>
      </c>
      <c r="F143" s="10">
        <v>3.25</v>
      </c>
      <c r="G143" s="10">
        <v>136.373861573333</v>
      </c>
      <c r="H143" s="10">
        <v>2859</v>
      </c>
      <c r="I143" s="10">
        <v>1475</v>
      </c>
      <c r="J143" s="12">
        <v>0.515914655473942</v>
      </c>
      <c r="K143" s="10">
        <v>23346</v>
      </c>
      <c r="L143" s="10">
        <v>2.05036476986609</v>
      </c>
      <c r="M143" s="10">
        <v>1.05695212893914</v>
      </c>
      <c r="N143" s="10">
        <v>7030</v>
      </c>
      <c r="O143" s="10">
        <v>3016.8</v>
      </c>
      <c r="P143" s="10">
        <v>6651.2</v>
      </c>
      <c r="Q143" s="12">
        <v>0.453572287707481</v>
      </c>
    </row>
    <row r="144" spans="1:17">
      <c r="A144" s="10">
        <v>2009</v>
      </c>
      <c r="B144" s="10" t="s">
        <v>39</v>
      </c>
      <c r="C144" s="11">
        <v>1171.963872</v>
      </c>
      <c r="D144" s="11">
        <v>1902.450465</v>
      </c>
      <c r="E144" s="11">
        <v>1634.620671</v>
      </c>
      <c r="F144" s="10">
        <v>6.68</v>
      </c>
      <c r="G144" s="10">
        <v>271.053169773333</v>
      </c>
      <c r="H144" s="10">
        <v>8185</v>
      </c>
      <c r="I144" s="10">
        <v>3168</v>
      </c>
      <c r="J144" s="12">
        <v>0.387049480757483</v>
      </c>
      <c r="K144" s="10">
        <v>17387</v>
      </c>
      <c r="L144" s="10">
        <v>1.91008956473534</v>
      </c>
      <c r="M144" s="10">
        <v>1.15019801840655</v>
      </c>
      <c r="N144" s="10">
        <v>16322</v>
      </c>
      <c r="O144" s="10">
        <v>6653.2</v>
      </c>
      <c r="P144" s="10">
        <v>14190.6</v>
      </c>
      <c r="Q144" s="12">
        <v>0.468845573830564</v>
      </c>
    </row>
    <row r="145" spans="1:17">
      <c r="A145" s="10">
        <v>2009</v>
      </c>
      <c r="B145" s="10" t="s">
        <v>40</v>
      </c>
      <c r="C145" s="11">
        <v>617.715855</v>
      </c>
      <c r="D145" s="11">
        <v>1029.135699</v>
      </c>
      <c r="E145" s="11">
        <v>29.81871</v>
      </c>
      <c r="F145" s="10">
        <v>2.78</v>
      </c>
      <c r="G145" s="10">
        <v>227.157988746667</v>
      </c>
      <c r="H145" s="10">
        <v>3537</v>
      </c>
      <c r="I145" s="10">
        <v>1057</v>
      </c>
      <c r="J145" s="12">
        <v>0.298840825558383</v>
      </c>
      <c r="K145" s="10">
        <v>10814</v>
      </c>
      <c r="L145" s="10">
        <v>5.88995744410161</v>
      </c>
      <c r="M145" s="10">
        <v>1.96178079705448</v>
      </c>
      <c r="N145" s="10">
        <v>7566</v>
      </c>
      <c r="O145" s="10">
        <v>1574.9</v>
      </c>
      <c r="P145" s="10">
        <v>3856.7</v>
      </c>
      <c r="Q145" s="12">
        <v>0.408354292529883</v>
      </c>
    </row>
    <row r="146" spans="1:17">
      <c r="A146" s="10">
        <v>2009</v>
      </c>
      <c r="B146" s="10" t="s">
        <v>41</v>
      </c>
      <c r="C146" s="11">
        <v>799.479684</v>
      </c>
      <c r="D146" s="11">
        <v>2624.029866</v>
      </c>
      <c r="E146" s="11">
        <v>271.460295</v>
      </c>
      <c r="F146" s="10">
        <v>2.24</v>
      </c>
      <c r="G146" s="10">
        <v>165.45042829913</v>
      </c>
      <c r="H146" s="10">
        <v>4571</v>
      </c>
      <c r="I146" s="10">
        <v>1554</v>
      </c>
      <c r="J146" s="12">
        <v>0.339969372128637</v>
      </c>
      <c r="K146" s="10">
        <v>14427</v>
      </c>
      <c r="L146" s="10">
        <v>2.51658597437226</v>
      </c>
      <c r="M146" s="10">
        <v>1.2217084448771</v>
      </c>
      <c r="N146" s="10">
        <v>8032</v>
      </c>
      <c r="O146" s="10">
        <v>2605.4</v>
      </c>
      <c r="P146" s="10">
        <v>6574.4</v>
      </c>
      <c r="Q146" s="12">
        <v>0.39629471890971</v>
      </c>
    </row>
    <row r="147" spans="1:17">
      <c r="A147" s="10">
        <v>2009</v>
      </c>
      <c r="B147" s="10" t="s">
        <v>42</v>
      </c>
      <c r="C147" s="11">
        <v>561.801852</v>
      </c>
      <c r="D147" s="11">
        <v>880.957116</v>
      </c>
      <c r="E147" s="11">
        <v>555.294708</v>
      </c>
      <c r="F147" s="10">
        <v>2.34</v>
      </c>
      <c r="G147" s="10">
        <v>262.342817909</v>
      </c>
      <c r="H147" s="10">
        <v>3727</v>
      </c>
      <c r="I147" s="10">
        <v>1621</v>
      </c>
      <c r="J147" s="12">
        <v>0.434934263482694</v>
      </c>
      <c r="K147" s="10">
        <v>21485</v>
      </c>
      <c r="L147" s="10">
        <v>3.28018727536322</v>
      </c>
      <c r="M147" s="10">
        <v>1.00577658856185</v>
      </c>
      <c r="N147" s="10">
        <v>8044</v>
      </c>
      <c r="O147" s="10">
        <v>4017.5</v>
      </c>
      <c r="P147" s="10">
        <v>7997.8</v>
      </c>
      <c r="Q147" s="12">
        <v>0.502325639550877</v>
      </c>
    </row>
    <row r="148" spans="1:17">
      <c r="A148" s="10">
        <v>2009</v>
      </c>
      <c r="B148" s="10" t="s">
        <v>43</v>
      </c>
      <c r="C148" s="11">
        <v>564.59871</v>
      </c>
      <c r="D148" s="11">
        <v>357.904557</v>
      </c>
      <c r="E148" s="11">
        <v>1530.006255</v>
      </c>
      <c r="F148" s="10">
        <v>1.47</v>
      </c>
      <c r="G148" s="10">
        <v>124.384142333333</v>
      </c>
      <c r="H148" s="10">
        <v>2555</v>
      </c>
      <c r="I148" s="10">
        <v>891</v>
      </c>
      <c r="J148" s="12">
        <v>0.348727984344423</v>
      </c>
      <c r="K148" s="10">
        <v>12802</v>
      </c>
      <c r="L148" s="10">
        <v>3.80577493906108</v>
      </c>
      <c r="M148" s="10">
        <v>1.67732460300462</v>
      </c>
      <c r="N148" s="10">
        <v>5482</v>
      </c>
      <c r="O148" s="10">
        <v>1473.2</v>
      </c>
      <c r="P148" s="10">
        <v>3268.3</v>
      </c>
      <c r="Q148" s="12">
        <v>0.45075421472937</v>
      </c>
    </row>
    <row r="149" spans="1:17">
      <c r="A149" s="10">
        <v>2009</v>
      </c>
      <c r="B149" s="10" t="s">
        <v>44</v>
      </c>
      <c r="C149" s="11">
        <v>64.895454</v>
      </c>
      <c r="D149" s="11">
        <v>60.65415</v>
      </c>
      <c r="E149" s="11">
        <v>4619.26998</v>
      </c>
      <c r="F149" s="10">
        <v>0.33</v>
      </c>
      <c r="G149" s="10">
        <v>35.4586712966667</v>
      </c>
      <c r="H149" s="10">
        <v>557</v>
      </c>
      <c r="I149" s="10">
        <v>234</v>
      </c>
      <c r="J149" s="12">
        <v>0.420107719928187</v>
      </c>
      <c r="K149" s="10">
        <v>16907</v>
      </c>
      <c r="L149" s="10">
        <v>3.77340335177894</v>
      </c>
      <c r="M149" s="10">
        <v>2.49866978823029</v>
      </c>
      <c r="N149" s="10">
        <v>2348</v>
      </c>
      <c r="O149" s="10">
        <v>365.7</v>
      </c>
      <c r="P149" s="10">
        <v>939.7</v>
      </c>
      <c r="Q149" s="12">
        <v>0.389166755347451</v>
      </c>
    </row>
    <row r="150" spans="1:17">
      <c r="A150" s="10">
        <v>2009</v>
      </c>
      <c r="B150" s="10" t="s">
        <v>45</v>
      </c>
      <c r="C150" s="11">
        <v>133.628175</v>
      </c>
      <c r="D150" s="11">
        <v>6.737256</v>
      </c>
      <c r="E150" s="11">
        <v>349.639794</v>
      </c>
      <c r="F150" s="10">
        <v>1.45</v>
      </c>
      <c r="G150" s="10">
        <v>140.226471033853</v>
      </c>
      <c r="H150" s="10">
        <v>625</v>
      </c>
      <c r="I150" s="10">
        <v>288</v>
      </c>
      <c r="J150" s="12">
        <v>0.4608</v>
      </c>
      <c r="K150" s="10">
        <v>20382</v>
      </c>
      <c r="L150" s="10">
        <v>11.0702195495266</v>
      </c>
      <c r="M150" s="10">
        <v>2.67466645614589</v>
      </c>
      <c r="N150" s="10">
        <v>3388</v>
      </c>
      <c r="O150" s="10">
        <v>593</v>
      </c>
      <c r="P150" s="10">
        <v>1266.7</v>
      </c>
      <c r="Q150" s="12">
        <v>0.468145575116444</v>
      </c>
    </row>
    <row r="151" spans="1:17">
      <c r="A151" s="10">
        <v>2009</v>
      </c>
      <c r="B151" s="10" t="s">
        <v>46</v>
      </c>
      <c r="C151" s="11">
        <v>737.941581</v>
      </c>
      <c r="D151" s="11">
        <v>171.128124</v>
      </c>
      <c r="E151" s="11">
        <v>3898.558215</v>
      </c>
      <c r="F151" s="10">
        <v>3.64</v>
      </c>
      <c r="G151" s="10">
        <v>214.550762046667</v>
      </c>
      <c r="H151" s="10">
        <v>2159</v>
      </c>
      <c r="I151" s="10">
        <v>860</v>
      </c>
      <c r="J151" s="12">
        <v>0.398332561371005</v>
      </c>
      <c r="K151" s="10">
        <v>19755</v>
      </c>
      <c r="L151" s="10">
        <v>5.06374231877901</v>
      </c>
      <c r="M151" s="10">
        <v>1.77625678546141</v>
      </c>
      <c r="N151" s="10">
        <v>7526</v>
      </c>
      <c r="O151" s="10">
        <v>1846</v>
      </c>
      <c r="P151" s="10">
        <v>4237</v>
      </c>
      <c r="Q151" s="12">
        <v>0.43568562662261</v>
      </c>
    </row>
    <row r="152" spans="1:17">
      <c r="A152" s="10">
        <v>2010</v>
      </c>
      <c r="B152" s="10" t="s">
        <v>17</v>
      </c>
      <c r="C152" s="11">
        <v>47.032857</v>
      </c>
      <c r="D152" s="11">
        <v>78.334731</v>
      </c>
      <c r="E152" s="11">
        <v>5.323131</v>
      </c>
      <c r="F152" s="10">
        <v>6.27</v>
      </c>
      <c r="G152" s="10">
        <v>96.83595784</v>
      </c>
      <c r="H152" s="10">
        <v>1962</v>
      </c>
      <c r="I152" s="10">
        <v>1686</v>
      </c>
      <c r="J152" s="12">
        <v>0.859327217125382</v>
      </c>
      <c r="K152" s="10">
        <v>78307</v>
      </c>
      <c r="L152" s="10">
        <v>0.64712615503876</v>
      </c>
      <c r="M152" s="10">
        <v>0.464715316760225</v>
      </c>
      <c r="N152" s="10">
        <v>6954</v>
      </c>
      <c r="O152" s="10">
        <v>3233.1</v>
      </c>
      <c r="P152" s="10">
        <v>14964</v>
      </c>
      <c r="Q152" s="12">
        <v>0.216058540497193</v>
      </c>
    </row>
    <row r="153" spans="1:17">
      <c r="A153" s="10">
        <v>2010</v>
      </c>
      <c r="B153" s="10" t="s">
        <v>18</v>
      </c>
      <c r="C153" s="11">
        <v>67.381614</v>
      </c>
      <c r="D153" s="11">
        <v>3.465927</v>
      </c>
      <c r="E153" s="11">
        <v>0.341388</v>
      </c>
      <c r="F153" s="10">
        <v>1.92</v>
      </c>
      <c r="G153" s="10">
        <v>134.285525553333</v>
      </c>
      <c r="H153" s="10">
        <v>1299</v>
      </c>
      <c r="I153" s="10">
        <v>1034</v>
      </c>
      <c r="J153" s="12">
        <v>0.795996920708237</v>
      </c>
      <c r="K153" s="10">
        <v>54053</v>
      </c>
      <c r="L153" s="10">
        <v>1.96588284759228</v>
      </c>
      <c r="M153" s="10">
        <v>0.998126134566961</v>
      </c>
      <c r="N153" s="10">
        <v>6818</v>
      </c>
      <c r="O153" s="10">
        <v>3259.7</v>
      </c>
      <c r="P153" s="10">
        <v>6830.8</v>
      </c>
      <c r="Q153" s="12">
        <v>0.477206183755929</v>
      </c>
    </row>
    <row r="154" spans="1:17">
      <c r="A154" s="10">
        <v>2010</v>
      </c>
      <c r="B154" s="10" t="s">
        <v>19</v>
      </c>
      <c r="C154" s="11">
        <v>869.783418</v>
      </c>
      <c r="D154" s="11">
        <v>423.670905</v>
      </c>
      <c r="E154" s="11">
        <v>356.857461</v>
      </c>
      <c r="F154" s="10">
        <v>6.9</v>
      </c>
      <c r="G154" s="10">
        <v>569.371492396453</v>
      </c>
      <c r="H154" s="10">
        <v>7194</v>
      </c>
      <c r="I154" s="10">
        <v>3201</v>
      </c>
      <c r="J154" s="12">
        <v>0.444954128440367</v>
      </c>
      <c r="K154" s="10">
        <v>25308</v>
      </c>
      <c r="L154" s="10">
        <v>3.16254244926822</v>
      </c>
      <c r="M154" s="10">
        <v>1.52919416116777</v>
      </c>
      <c r="N154" s="10">
        <v>27531</v>
      </c>
      <c r="O154" s="10">
        <v>8470.5</v>
      </c>
      <c r="P154" s="10">
        <v>18003.6</v>
      </c>
      <c r="Q154" s="12">
        <v>0.470489235486236</v>
      </c>
    </row>
    <row r="155" spans="1:17">
      <c r="A155" s="10">
        <v>2010</v>
      </c>
      <c r="B155" s="10" t="s">
        <v>20</v>
      </c>
      <c r="C155" s="11">
        <v>555.132726</v>
      </c>
      <c r="D155" s="11">
        <v>369.67581</v>
      </c>
      <c r="E155" s="11">
        <v>560.225952</v>
      </c>
      <c r="F155" s="10">
        <v>3.11</v>
      </c>
      <c r="G155" s="10">
        <v>654.045023733334</v>
      </c>
      <c r="H155" s="10">
        <v>3574</v>
      </c>
      <c r="I155" s="10">
        <v>1717</v>
      </c>
      <c r="J155" s="12">
        <v>0.48041410184667</v>
      </c>
      <c r="K155" s="10">
        <v>25434</v>
      </c>
      <c r="L155" s="10">
        <v>7.34560163224355</v>
      </c>
      <c r="M155" s="10">
        <v>1.88771212614697</v>
      </c>
      <c r="N155" s="10">
        <v>16808</v>
      </c>
      <c r="O155" s="10">
        <v>5349.6</v>
      </c>
      <c r="P155" s="10">
        <v>8903.9</v>
      </c>
      <c r="Q155" s="12">
        <v>0.600815373038781</v>
      </c>
    </row>
    <row r="156" spans="1:17">
      <c r="A156" s="10">
        <v>2010</v>
      </c>
      <c r="B156" s="10" t="s">
        <v>21</v>
      </c>
      <c r="C156" s="11">
        <v>1314.741411</v>
      </c>
      <c r="D156" s="11">
        <v>1771.683741</v>
      </c>
      <c r="E156" s="11">
        <v>5555.258496</v>
      </c>
      <c r="F156" s="10">
        <v>3.81</v>
      </c>
      <c r="G156" s="10">
        <v>562.496451247613</v>
      </c>
      <c r="H156" s="10">
        <v>2472</v>
      </c>
      <c r="I156" s="10">
        <v>1372</v>
      </c>
      <c r="J156" s="12">
        <v>0.555016181229773</v>
      </c>
      <c r="K156" s="10">
        <v>33262</v>
      </c>
      <c r="L156" s="10">
        <v>6.85979647614743</v>
      </c>
      <c r="M156" s="10">
        <v>2.05124452737228</v>
      </c>
      <c r="N156" s="10">
        <v>16820</v>
      </c>
      <c r="O156" s="10">
        <v>3420.5</v>
      </c>
      <c r="P156" s="10">
        <v>8199.9</v>
      </c>
      <c r="Q156" s="12">
        <v>0.417139233405285</v>
      </c>
    </row>
    <row r="157" spans="1:17">
      <c r="A157" s="10">
        <v>2010</v>
      </c>
      <c r="B157" s="10" t="s">
        <v>22</v>
      </c>
      <c r="C157" s="11">
        <v>721.960479</v>
      </c>
      <c r="D157" s="11">
        <v>508.837563</v>
      </c>
      <c r="E157" s="11">
        <v>72.921582</v>
      </c>
      <c r="F157" s="10">
        <v>9.28</v>
      </c>
      <c r="G157" s="10">
        <v>494.58754982</v>
      </c>
      <c r="H157" s="10">
        <v>4375</v>
      </c>
      <c r="I157" s="10">
        <v>2717</v>
      </c>
      <c r="J157" s="12">
        <v>0.621028571428571</v>
      </c>
      <c r="K157" s="10">
        <v>31888</v>
      </c>
      <c r="L157" s="10">
        <v>3.55913120629232</v>
      </c>
      <c r="M157" s="10">
        <v>1.50737966221224</v>
      </c>
      <c r="N157" s="10">
        <v>20947</v>
      </c>
      <c r="O157" s="10">
        <v>7181.8</v>
      </c>
      <c r="P157" s="10">
        <v>13896.3</v>
      </c>
      <c r="Q157" s="12">
        <v>0.516813828141304</v>
      </c>
    </row>
    <row r="158" spans="1:17">
      <c r="A158" s="10">
        <v>2010</v>
      </c>
      <c r="B158" s="10" t="s">
        <v>23</v>
      </c>
      <c r="C158" s="11">
        <v>880.393419</v>
      </c>
      <c r="D158" s="11">
        <v>828.009639</v>
      </c>
      <c r="E158" s="11">
        <v>74.008629</v>
      </c>
      <c r="F158" s="10">
        <v>3.79</v>
      </c>
      <c r="G158" s="10">
        <v>225.77494142</v>
      </c>
      <c r="H158" s="10">
        <v>2747</v>
      </c>
      <c r="I158" s="10">
        <v>1465</v>
      </c>
      <c r="J158" s="12">
        <v>0.533309064433928</v>
      </c>
      <c r="K158" s="10">
        <v>23370</v>
      </c>
      <c r="L158" s="10">
        <v>3.52195525185243</v>
      </c>
      <c r="M158" s="10">
        <v>1.29428281725294</v>
      </c>
      <c r="N158" s="10">
        <v>8297</v>
      </c>
      <c r="O158" s="10">
        <v>2485.8</v>
      </c>
      <c r="P158" s="10">
        <v>6410.5</v>
      </c>
      <c r="Q158" s="12">
        <v>0.38777006473754</v>
      </c>
    </row>
    <row r="159" spans="1:17">
      <c r="A159" s="10">
        <v>2010</v>
      </c>
      <c r="B159" s="10" t="s">
        <v>24</v>
      </c>
      <c r="C159" s="11">
        <v>1973.2851</v>
      </c>
      <c r="D159" s="11">
        <v>2278.858032</v>
      </c>
      <c r="E159" s="11">
        <v>86.53995</v>
      </c>
      <c r="F159" s="10">
        <v>6.96</v>
      </c>
      <c r="G159" s="10">
        <v>351.5363086</v>
      </c>
      <c r="H159" s="10">
        <v>3833</v>
      </c>
      <c r="I159" s="10">
        <v>2134</v>
      </c>
      <c r="J159" s="12">
        <v>0.556744064701278</v>
      </c>
      <c r="K159" s="10">
        <v>21694</v>
      </c>
      <c r="L159" s="10">
        <v>4.23114606598221</v>
      </c>
      <c r="M159" s="10">
        <v>1.35214183406955</v>
      </c>
      <c r="N159" s="10">
        <v>11234</v>
      </c>
      <c r="O159" s="10">
        <v>4146.1</v>
      </c>
      <c r="P159" s="10">
        <v>8308.3</v>
      </c>
      <c r="Q159" s="12">
        <v>0.499031089392535</v>
      </c>
    </row>
    <row r="160" spans="1:17">
      <c r="A160" s="10">
        <v>2010</v>
      </c>
      <c r="B160" s="10" t="s">
        <v>25</v>
      </c>
      <c r="C160" s="11">
        <v>44.116722</v>
      </c>
      <c r="D160" s="11">
        <v>0.129033</v>
      </c>
      <c r="E160" s="11">
        <v>0.033255</v>
      </c>
      <c r="F160" s="10">
        <v>12.01</v>
      </c>
      <c r="G160" s="10">
        <v>161.419925127117</v>
      </c>
      <c r="H160" s="10">
        <v>2303</v>
      </c>
      <c r="I160" s="10">
        <v>2056</v>
      </c>
      <c r="J160" s="12">
        <v>0.892748588797221</v>
      </c>
      <c r="K160" s="10">
        <v>79396</v>
      </c>
      <c r="L160" s="10">
        <v>0.90101211877556</v>
      </c>
      <c r="M160" s="10">
        <v>0.625216294361276</v>
      </c>
      <c r="N160" s="10">
        <v>11201</v>
      </c>
      <c r="O160" s="10">
        <v>7434.9</v>
      </c>
      <c r="P160" s="10">
        <v>17915.4</v>
      </c>
      <c r="Q160" s="12">
        <v>0.415000502361097</v>
      </c>
    </row>
    <row r="161" spans="1:17">
      <c r="A161" s="10">
        <v>2010</v>
      </c>
      <c r="B161" s="10" t="s">
        <v>26</v>
      </c>
      <c r="C161" s="11">
        <v>732.133467</v>
      </c>
      <c r="D161" s="11">
        <v>18.827919</v>
      </c>
      <c r="E161" s="11">
        <v>0.37584</v>
      </c>
      <c r="F161" s="10">
        <v>22.76</v>
      </c>
      <c r="G161" s="10">
        <v>546.28913564</v>
      </c>
      <c r="H161" s="10">
        <v>7869</v>
      </c>
      <c r="I161" s="10">
        <v>4767</v>
      </c>
      <c r="J161" s="12">
        <v>0.605794891345787</v>
      </c>
      <c r="K161" s="10">
        <v>52787</v>
      </c>
      <c r="L161" s="10">
        <v>1.32005232865921</v>
      </c>
      <c r="M161" s="10">
        <v>0.622802587479672</v>
      </c>
      <c r="N161" s="10">
        <v>25774</v>
      </c>
      <c r="O161" s="10">
        <v>21853.6</v>
      </c>
      <c r="P161" s="10">
        <v>41383.9</v>
      </c>
      <c r="Q161" s="12">
        <v>0.528070094891975</v>
      </c>
    </row>
    <row r="162" spans="1:17">
      <c r="A162" s="10">
        <v>2010</v>
      </c>
      <c r="B162" s="10" t="s">
        <v>27</v>
      </c>
      <c r="C162" s="11">
        <v>236.250972</v>
      </c>
      <c r="D162" s="11">
        <v>695.934279</v>
      </c>
      <c r="E162" s="11">
        <v>0.295929</v>
      </c>
      <c r="F162" s="10">
        <v>7.95</v>
      </c>
      <c r="G162" s="10">
        <v>375.767139228667</v>
      </c>
      <c r="H162" s="10">
        <v>5447</v>
      </c>
      <c r="I162" s="10">
        <v>3356</v>
      </c>
      <c r="J162" s="12">
        <v>0.616118964567652</v>
      </c>
      <c r="K162" s="10">
        <v>51110</v>
      </c>
      <c r="L162" s="10">
        <v>1.37141792206784</v>
      </c>
      <c r="M162" s="10">
        <v>0.615513195303632</v>
      </c>
      <c r="N162" s="10">
        <v>16865</v>
      </c>
      <c r="O162" s="10">
        <v>14140.9</v>
      </c>
      <c r="P162" s="10">
        <v>27399.9</v>
      </c>
      <c r="Q162" s="12">
        <v>0.516093124427461</v>
      </c>
    </row>
    <row r="163" spans="1:17">
      <c r="A163" s="10">
        <v>2010</v>
      </c>
      <c r="B163" s="10" t="s">
        <v>28</v>
      </c>
      <c r="C163" s="11">
        <v>847.572471</v>
      </c>
      <c r="D163" s="11">
        <v>378.521244</v>
      </c>
      <c r="E163" s="11">
        <v>0.944604</v>
      </c>
      <c r="F163" s="10">
        <v>7.15</v>
      </c>
      <c r="G163" s="10">
        <v>282.904202136</v>
      </c>
      <c r="H163" s="10">
        <v>5957</v>
      </c>
      <c r="I163" s="10">
        <v>2562</v>
      </c>
      <c r="J163" s="12">
        <v>0.430082256169213</v>
      </c>
      <c r="K163" s="10">
        <v>21923</v>
      </c>
      <c r="L163" s="10">
        <v>2.13515828266087</v>
      </c>
      <c r="M163" s="10">
        <v>0.732614831921991</v>
      </c>
      <c r="N163" s="10">
        <v>9707</v>
      </c>
      <c r="O163" s="10">
        <v>6396</v>
      </c>
      <c r="P163" s="10">
        <v>13249.8</v>
      </c>
      <c r="Q163" s="12">
        <v>0.482724267536114</v>
      </c>
    </row>
    <row r="164" spans="1:17">
      <c r="A164" s="10">
        <v>2010</v>
      </c>
      <c r="B164" s="10" t="s">
        <v>29</v>
      </c>
      <c r="C164" s="11">
        <v>140.447304</v>
      </c>
      <c r="D164" s="11">
        <v>1032.085386</v>
      </c>
      <c r="E164" s="11">
        <v>0.887373</v>
      </c>
      <c r="F164" s="10">
        <v>4.79</v>
      </c>
      <c r="G164" s="10">
        <v>179.639852769633</v>
      </c>
      <c r="H164" s="10">
        <v>3693</v>
      </c>
      <c r="I164" s="10">
        <v>2109</v>
      </c>
      <c r="J164" s="12">
        <v>0.571080422420796</v>
      </c>
      <c r="K164" s="10">
        <v>40773</v>
      </c>
      <c r="L164" s="10">
        <v>1.19739945188891</v>
      </c>
      <c r="M164" s="10">
        <v>0.653824362606232</v>
      </c>
      <c r="N164" s="10">
        <v>9809</v>
      </c>
      <c r="O164" s="10">
        <v>7705.3</v>
      </c>
      <c r="P164" s="10">
        <v>15002.5</v>
      </c>
      <c r="Q164" s="12">
        <v>0.513601066488919</v>
      </c>
    </row>
    <row r="165" spans="1:17">
      <c r="A165" s="10">
        <v>2010</v>
      </c>
      <c r="B165" s="10" t="s">
        <v>30</v>
      </c>
      <c r="C165" s="11">
        <v>461.752677</v>
      </c>
      <c r="D165" s="11">
        <v>1102.704417</v>
      </c>
      <c r="E165" s="11">
        <v>1.637739</v>
      </c>
      <c r="F165" s="10">
        <v>4.23</v>
      </c>
      <c r="G165" s="10">
        <v>134.192166046667</v>
      </c>
      <c r="H165" s="10">
        <v>4462</v>
      </c>
      <c r="I165" s="10">
        <v>1966</v>
      </c>
      <c r="J165" s="12">
        <v>0.440609592111161</v>
      </c>
      <c r="K165" s="10">
        <v>21099</v>
      </c>
      <c r="L165" s="10">
        <v>1.43013221551994</v>
      </c>
      <c r="M165" s="10">
        <v>0.677274277432006</v>
      </c>
      <c r="N165" s="10">
        <v>6355</v>
      </c>
      <c r="O165" s="10">
        <v>5083.1</v>
      </c>
      <c r="P165" s="10">
        <v>9383.2</v>
      </c>
      <c r="Q165" s="12">
        <v>0.541723505840225</v>
      </c>
    </row>
    <row r="166" spans="1:17">
      <c r="A166" s="10">
        <v>2010</v>
      </c>
      <c r="B166" s="10" t="s">
        <v>31</v>
      </c>
      <c r="C166" s="11">
        <v>1120.32567</v>
      </c>
      <c r="D166" s="11">
        <v>66.451212</v>
      </c>
      <c r="E166" s="11">
        <v>30.379536</v>
      </c>
      <c r="F166" s="10">
        <v>15.62</v>
      </c>
      <c r="G166" s="10">
        <v>929.118991491225</v>
      </c>
      <c r="H166" s="10">
        <v>9588</v>
      </c>
      <c r="I166" s="10">
        <v>4765</v>
      </c>
      <c r="J166" s="12">
        <v>0.49697538589904</v>
      </c>
      <c r="K166" s="10">
        <v>35599</v>
      </c>
      <c r="L166" s="10">
        <v>2.73894610211873</v>
      </c>
      <c r="M166" s="10">
        <v>1.02610361854227</v>
      </c>
      <c r="N166" s="10">
        <v>34808</v>
      </c>
      <c r="O166" s="10">
        <v>17733.1</v>
      </c>
      <c r="P166" s="10">
        <v>33922.5</v>
      </c>
      <c r="Q166" s="12">
        <v>0.522753334807281</v>
      </c>
    </row>
    <row r="167" spans="1:17">
      <c r="A167" s="10">
        <v>2010</v>
      </c>
      <c r="B167" s="10" t="s">
        <v>32</v>
      </c>
      <c r="C167" s="11">
        <v>1129.422339</v>
      </c>
      <c r="D167" s="11">
        <v>283.743756</v>
      </c>
      <c r="E167" s="11">
        <v>28.147293</v>
      </c>
      <c r="F167" s="10">
        <v>6.68</v>
      </c>
      <c r="G167" s="10">
        <v>573.12989968</v>
      </c>
      <c r="H167" s="10">
        <v>9405</v>
      </c>
      <c r="I167" s="10">
        <v>3621</v>
      </c>
      <c r="J167" s="12">
        <v>0.385007974481659</v>
      </c>
      <c r="K167" s="10">
        <v>23984</v>
      </c>
      <c r="L167" s="10">
        <v>2.52981637466343</v>
      </c>
      <c r="M167" s="10">
        <v>0.946281174133745</v>
      </c>
      <c r="N167" s="10">
        <v>21438</v>
      </c>
      <c r="O167" s="10">
        <v>12173.5</v>
      </c>
      <c r="P167" s="10">
        <v>22655</v>
      </c>
      <c r="Q167" s="12">
        <v>0.537342749944825</v>
      </c>
    </row>
    <row r="168" spans="1:17">
      <c r="A168" s="10">
        <v>2010</v>
      </c>
      <c r="B168" s="10" t="s">
        <v>33</v>
      </c>
      <c r="C168" s="11">
        <v>829.75383</v>
      </c>
      <c r="D168" s="11">
        <v>897.68403</v>
      </c>
      <c r="E168" s="11">
        <v>4.969575</v>
      </c>
      <c r="F168" s="10">
        <v>5.79</v>
      </c>
      <c r="G168" s="10">
        <v>279.607885826667</v>
      </c>
      <c r="H168" s="10">
        <v>5728</v>
      </c>
      <c r="I168" s="10">
        <v>2847</v>
      </c>
      <c r="J168" s="12">
        <v>0.497032122905028</v>
      </c>
      <c r="K168" s="10">
        <v>28359</v>
      </c>
      <c r="L168" s="10">
        <v>1.72311338472947</v>
      </c>
      <c r="M168" s="10">
        <v>0.932895377428837</v>
      </c>
      <c r="N168" s="10">
        <v>15138</v>
      </c>
      <c r="O168" s="10">
        <v>7748.3</v>
      </c>
      <c r="P168" s="10">
        <v>16226.9</v>
      </c>
      <c r="Q168" s="12">
        <v>0.477497242233575</v>
      </c>
    </row>
    <row r="169" spans="1:17">
      <c r="A169" s="10">
        <v>2010</v>
      </c>
      <c r="B169" s="10" t="s">
        <v>34</v>
      </c>
      <c r="C169" s="11">
        <v>727.041843</v>
      </c>
      <c r="D169" s="11">
        <v>1308.208671</v>
      </c>
      <c r="E169" s="11">
        <v>0.735093</v>
      </c>
      <c r="F169" s="10">
        <v>4.6</v>
      </c>
      <c r="G169" s="10">
        <v>231.696458766667</v>
      </c>
      <c r="H169" s="10">
        <v>6570</v>
      </c>
      <c r="I169" s="10">
        <v>2845</v>
      </c>
      <c r="J169" s="12">
        <v>0.433028919330289</v>
      </c>
      <c r="K169" s="10">
        <v>24005</v>
      </c>
      <c r="L169" s="10">
        <v>1.48768457501568</v>
      </c>
      <c r="M169" s="10">
        <v>0.955420147293939</v>
      </c>
      <c r="N169" s="10">
        <v>14880</v>
      </c>
      <c r="O169" s="10">
        <v>7034.7</v>
      </c>
      <c r="P169" s="10">
        <v>15574.3</v>
      </c>
      <c r="Q169" s="12">
        <v>0.451686432134992</v>
      </c>
    </row>
    <row r="170" spans="1:17">
      <c r="A170" s="10">
        <v>2010</v>
      </c>
      <c r="B170" s="10" t="s">
        <v>35</v>
      </c>
      <c r="C170" s="11">
        <v>460.177164</v>
      </c>
      <c r="D170" s="11">
        <v>1156.816656</v>
      </c>
      <c r="E170" s="11">
        <v>2.503305</v>
      </c>
      <c r="F170" s="10">
        <v>42.04</v>
      </c>
      <c r="G170" s="10">
        <v>445.05936574</v>
      </c>
      <c r="H170" s="10">
        <v>10441</v>
      </c>
      <c r="I170" s="10">
        <v>6910</v>
      </c>
      <c r="J170" s="12">
        <v>0.661814002490183</v>
      </c>
      <c r="K170" s="10">
        <v>44669</v>
      </c>
      <c r="L170" s="10">
        <v>0.9686869963826</v>
      </c>
      <c r="M170" s="10">
        <v>0.585661862329849</v>
      </c>
      <c r="N170" s="10">
        <v>26908</v>
      </c>
      <c r="O170" s="10">
        <v>22917.4</v>
      </c>
      <c r="P170" s="10">
        <v>45944.6</v>
      </c>
      <c r="Q170" s="12">
        <v>0.498805082643009</v>
      </c>
    </row>
    <row r="171" spans="1:17">
      <c r="A171" s="10">
        <v>2010</v>
      </c>
      <c r="B171" s="10" t="s">
        <v>36</v>
      </c>
      <c r="C171" s="11">
        <v>592.671645</v>
      </c>
      <c r="D171" s="11">
        <v>1662.832134</v>
      </c>
      <c r="E171" s="11">
        <v>2.060478</v>
      </c>
      <c r="F171" s="10">
        <v>6.02</v>
      </c>
      <c r="G171" s="10">
        <v>134.275582593333</v>
      </c>
      <c r="H171" s="10">
        <v>4610</v>
      </c>
      <c r="I171" s="10">
        <v>1844</v>
      </c>
      <c r="J171" s="12">
        <v>0.4</v>
      </c>
      <c r="K171" s="10">
        <v>18070</v>
      </c>
      <c r="L171" s="10">
        <v>1.57003393893332</v>
      </c>
      <c r="M171" s="10">
        <v>0.925938917730695</v>
      </c>
      <c r="N171" s="10">
        <v>7919</v>
      </c>
      <c r="O171" s="10">
        <v>3465.2</v>
      </c>
      <c r="P171" s="10">
        <v>8552.4</v>
      </c>
      <c r="Q171" s="12">
        <v>0.405172816987045</v>
      </c>
    </row>
    <row r="172" spans="1:17">
      <c r="A172" s="10">
        <v>2010</v>
      </c>
      <c r="B172" s="10" t="s">
        <v>37</v>
      </c>
      <c r="C172" s="11">
        <v>84.500181</v>
      </c>
      <c r="D172" s="11">
        <v>242.827434</v>
      </c>
      <c r="E172" s="11">
        <v>0.532638</v>
      </c>
      <c r="F172" s="10">
        <v>4.9</v>
      </c>
      <c r="G172" s="10">
        <v>44.9138828666667</v>
      </c>
      <c r="H172" s="10">
        <v>869</v>
      </c>
      <c r="I172" s="10">
        <v>433</v>
      </c>
      <c r="J172" s="12">
        <v>0.498273878020713</v>
      </c>
      <c r="K172" s="10">
        <v>23323</v>
      </c>
      <c r="L172" s="10">
        <v>2.22290932277489</v>
      </c>
      <c r="M172" s="10">
        <v>0.67260579064588</v>
      </c>
      <c r="N172" s="10">
        <v>1359</v>
      </c>
      <c r="O172" s="10">
        <v>528.6</v>
      </c>
      <c r="P172" s="10">
        <v>2020.5</v>
      </c>
      <c r="Q172" s="12">
        <v>0.261618411284336</v>
      </c>
    </row>
    <row r="173" spans="1:17">
      <c r="A173" s="10">
        <v>2010</v>
      </c>
      <c r="B173" s="10" t="s">
        <v>38</v>
      </c>
      <c r="C173" s="11">
        <v>357.857208</v>
      </c>
      <c r="D173" s="11">
        <v>435.46365</v>
      </c>
      <c r="E173" s="11">
        <v>0.924507</v>
      </c>
      <c r="F173" s="10">
        <v>3.77</v>
      </c>
      <c r="G173" s="10">
        <v>138.380189799857</v>
      </c>
      <c r="H173" s="10">
        <v>2885</v>
      </c>
      <c r="I173" s="10">
        <v>1529</v>
      </c>
      <c r="J173" s="12">
        <v>0.52998266897747</v>
      </c>
      <c r="K173" s="10">
        <v>28084</v>
      </c>
      <c r="L173" s="10">
        <v>1.71574758285317</v>
      </c>
      <c r="M173" s="10">
        <v>0.974049322405862</v>
      </c>
      <c r="N173" s="10">
        <v>7856</v>
      </c>
      <c r="O173" s="10">
        <v>3624.1</v>
      </c>
      <c r="P173" s="10">
        <v>8065.3</v>
      </c>
      <c r="Q173" s="12">
        <v>0.449344723692857</v>
      </c>
    </row>
    <row r="174" spans="1:17">
      <c r="A174" s="10">
        <v>2010</v>
      </c>
      <c r="B174" s="10" t="s">
        <v>39</v>
      </c>
      <c r="C174" s="11">
        <v>1173.025521</v>
      </c>
      <c r="D174" s="11">
        <v>1903.680666</v>
      </c>
      <c r="E174" s="11">
        <v>1629.065511</v>
      </c>
      <c r="F174" s="10">
        <v>7.23</v>
      </c>
      <c r="G174" s="10">
        <v>283.567412406667</v>
      </c>
      <c r="H174" s="10">
        <v>8045</v>
      </c>
      <c r="I174" s="10">
        <v>3232</v>
      </c>
      <c r="J174" s="12">
        <v>0.401740211311373</v>
      </c>
      <c r="K174" s="10">
        <v>21230</v>
      </c>
      <c r="L174" s="10">
        <v>1.64627404908427</v>
      </c>
      <c r="M174" s="10">
        <v>1.03873484742929</v>
      </c>
      <c r="N174" s="10">
        <v>17892</v>
      </c>
      <c r="O174" s="10">
        <v>8283.2</v>
      </c>
      <c r="P174" s="10">
        <v>17224.8</v>
      </c>
      <c r="Q174" s="12">
        <v>0.48088802192188</v>
      </c>
    </row>
    <row r="175" spans="1:17">
      <c r="A175" s="10">
        <v>2010</v>
      </c>
      <c r="B175" s="10" t="s">
        <v>40</v>
      </c>
      <c r="C175" s="11">
        <v>612.11088</v>
      </c>
      <c r="D175" s="11">
        <v>1034.649252</v>
      </c>
      <c r="E175" s="11">
        <v>29.093607</v>
      </c>
      <c r="F175" s="10">
        <v>2.87</v>
      </c>
      <c r="G175" s="10">
        <v>246.7571948</v>
      </c>
      <c r="H175" s="10">
        <v>3479</v>
      </c>
      <c r="I175" s="10">
        <v>1176</v>
      </c>
      <c r="J175" s="12">
        <v>0.338028169014085</v>
      </c>
      <c r="K175" s="10">
        <v>12882</v>
      </c>
      <c r="L175" s="10">
        <v>5.46043803496349</v>
      </c>
      <c r="M175" s="10">
        <v>1.80902854613853</v>
      </c>
      <c r="N175" s="10">
        <v>8175</v>
      </c>
      <c r="O175" s="10">
        <v>1820.7</v>
      </c>
      <c r="P175" s="10">
        <v>4519</v>
      </c>
      <c r="Q175" s="12">
        <v>0.402898871431733</v>
      </c>
    </row>
    <row r="176" spans="1:17">
      <c r="A176" s="10">
        <v>2010</v>
      </c>
      <c r="B176" s="10" t="s">
        <v>41</v>
      </c>
      <c r="C176" s="11">
        <v>798.916041</v>
      </c>
      <c r="D176" s="11">
        <v>2624.165523</v>
      </c>
      <c r="E176" s="11">
        <v>269.977302</v>
      </c>
      <c r="F176" s="10">
        <v>2.81</v>
      </c>
      <c r="G176" s="10">
        <v>176.25679604686</v>
      </c>
      <c r="H176" s="10">
        <v>4602</v>
      </c>
      <c r="I176" s="10">
        <v>1597</v>
      </c>
      <c r="J176" s="12">
        <v>0.347023033463711</v>
      </c>
      <c r="K176" s="10">
        <v>16866</v>
      </c>
      <c r="L176" s="10">
        <v>2.27860323512805</v>
      </c>
      <c r="M176" s="10">
        <v>1.12135275942756</v>
      </c>
      <c r="N176" s="10">
        <v>8674</v>
      </c>
      <c r="O176" s="10">
        <v>3267.7</v>
      </c>
      <c r="P176" s="10">
        <v>7735.3</v>
      </c>
      <c r="Q176" s="12">
        <v>0.422439982935374</v>
      </c>
    </row>
    <row r="177" spans="1:17">
      <c r="A177" s="10">
        <v>2010</v>
      </c>
      <c r="B177" s="10" t="s">
        <v>42</v>
      </c>
      <c r="C177" s="11">
        <v>554.097852</v>
      </c>
      <c r="D177" s="11">
        <v>886.672647</v>
      </c>
      <c r="E177" s="11">
        <v>557.64567</v>
      </c>
      <c r="F177" s="10">
        <v>2.61</v>
      </c>
      <c r="G177" s="10">
        <v>308.250533451563</v>
      </c>
      <c r="H177" s="10">
        <v>3735</v>
      </c>
      <c r="I177" s="10">
        <v>1709</v>
      </c>
      <c r="J177" s="12">
        <v>0.45756358768407</v>
      </c>
      <c r="K177" s="10">
        <v>26388</v>
      </c>
      <c r="L177" s="10">
        <v>3.1309727933568</v>
      </c>
      <c r="M177" s="10">
        <v>0.902165522284971</v>
      </c>
      <c r="N177" s="10">
        <v>8882</v>
      </c>
      <c r="O177" s="10">
        <v>5071.5</v>
      </c>
      <c r="P177" s="10">
        <v>9845.2</v>
      </c>
      <c r="Q177" s="12">
        <v>0.515124121399261</v>
      </c>
    </row>
    <row r="178" spans="1:17">
      <c r="A178" s="10">
        <v>2010</v>
      </c>
      <c r="B178" s="10" t="s">
        <v>43</v>
      </c>
      <c r="C178" s="11">
        <v>555.912324</v>
      </c>
      <c r="D178" s="11">
        <v>361.004274</v>
      </c>
      <c r="E178" s="11">
        <v>1546.982532</v>
      </c>
      <c r="F178" s="10">
        <v>1.53</v>
      </c>
      <c r="G178" s="10">
        <v>145.092340406667</v>
      </c>
      <c r="H178" s="10">
        <v>2560</v>
      </c>
      <c r="I178" s="10">
        <v>925</v>
      </c>
      <c r="J178" s="12">
        <v>0.361328125</v>
      </c>
      <c r="K178" s="10">
        <v>15421</v>
      </c>
      <c r="L178" s="10">
        <v>3.67909172621312</v>
      </c>
      <c r="M178" s="10">
        <v>1.50188908892664</v>
      </c>
      <c r="N178" s="10">
        <v>5923</v>
      </c>
      <c r="O178" s="10">
        <v>1910.4</v>
      </c>
      <c r="P178" s="10">
        <v>3943.7</v>
      </c>
      <c r="Q178" s="12">
        <v>0.484418185967492</v>
      </c>
    </row>
    <row r="179" spans="1:17">
      <c r="A179" s="10">
        <v>2010</v>
      </c>
      <c r="B179" s="10" t="s">
        <v>44</v>
      </c>
      <c r="C179" s="11">
        <v>64.462338</v>
      </c>
      <c r="D179" s="11">
        <v>60.524991</v>
      </c>
      <c r="E179" s="11">
        <v>4619.285388</v>
      </c>
      <c r="F179" s="10">
        <v>0.34</v>
      </c>
      <c r="G179" s="10">
        <v>37.1401973614367</v>
      </c>
      <c r="H179" s="10">
        <v>563</v>
      </c>
      <c r="I179" s="10">
        <v>252</v>
      </c>
      <c r="J179" s="12">
        <v>0.447602131438721</v>
      </c>
      <c r="K179" s="10">
        <v>20418</v>
      </c>
      <c r="L179" s="10">
        <v>3.24595327402872</v>
      </c>
      <c r="M179" s="10">
        <v>2.24436287362349</v>
      </c>
      <c r="N179" s="10">
        <v>2568</v>
      </c>
      <c r="O179" s="10">
        <v>444.2</v>
      </c>
      <c r="P179" s="10">
        <v>1144.2</v>
      </c>
      <c r="Q179" s="12">
        <v>0.38821884285964</v>
      </c>
    </row>
    <row r="180" spans="1:17">
      <c r="A180" s="10">
        <v>2010</v>
      </c>
      <c r="B180" s="10" t="s">
        <v>45</v>
      </c>
      <c r="C180" s="11">
        <v>135.032274</v>
      </c>
      <c r="D180" s="11">
        <v>6.780555</v>
      </c>
      <c r="E180" s="11">
        <v>348.966198</v>
      </c>
      <c r="F180" s="10">
        <v>1.74</v>
      </c>
      <c r="G180" s="10">
        <v>151.543593125373</v>
      </c>
      <c r="H180" s="10">
        <v>633</v>
      </c>
      <c r="I180" s="10">
        <v>303</v>
      </c>
      <c r="J180" s="12">
        <v>0.478672985781991</v>
      </c>
      <c r="K180" s="10">
        <v>24984</v>
      </c>
      <c r="L180" s="10">
        <v>9.64201775945622</v>
      </c>
      <c r="M180" s="10">
        <v>2.34205000954381</v>
      </c>
      <c r="N180" s="10">
        <v>3681</v>
      </c>
      <c r="O180" s="10">
        <v>733.4</v>
      </c>
      <c r="P180" s="10">
        <v>1571.7</v>
      </c>
      <c r="Q180" s="12">
        <v>0.466628491442387</v>
      </c>
    </row>
    <row r="181" spans="1:17">
      <c r="A181" s="10">
        <v>2010</v>
      </c>
      <c r="B181" s="10" t="s">
        <v>46</v>
      </c>
      <c r="C181" s="11">
        <v>767.390454</v>
      </c>
      <c r="D181" s="11">
        <v>172.091511</v>
      </c>
      <c r="E181" s="11">
        <v>3873.964509</v>
      </c>
      <c r="F181" s="10">
        <v>3.77</v>
      </c>
      <c r="G181" s="10">
        <v>240.817675133333</v>
      </c>
      <c r="H181" s="10">
        <v>2185</v>
      </c>
      <c r="I181" s="10">
        <v>940</v>
      </c>
      <c r="J181" s="12">
        <v>0.430205949656751</v>
      </c>
      <c r="K181" s="10">
        <v>24700</v>
      </c>
      <c r="L181" s="10">
        <v>4.49269943534445</v>
      </c>
      <c r="M181" s="10">
        <v>1.54658408268348</v>
      </c>
      <c r="N181" s="10">
        <v>8290</v>
      </c>
      <c r="O181" s="10">
        <v>2479.8</v>
      </c>
      <c r="P181" s="10">
        <v>5360.2</v>
      </c>
      <c r="Q181" s="12">
        <v>0.462631991343607</v>
      </c>
    </row>
    <row r="182" spans="1:17">
      <c r="A182" s="10">
        <v>2011</v>
      </c>
      <c r="B182" s="10" t="s">
        <v>17</v>
      </c>
      <c r="C182" s="11">
        <v>46.235142</v>
      </c>
      <c r="D182" s="11">
        <v>78.505596</v>
      </c>
      <c r="E182" s="11">
        <v>5.181138</v>
      </c>
      <c r="F182" s="10">
        <v>6.35</v>
      </c>
      <c r="G182" s="10">
        <v>94.7270683066667</v>
      </c>
      <c r="H182" s="10">
        <v>2024</v>
      </c>
      <c r="I182" s="10">
        <v>1745</v>
      </c>
      <c r="J182" s="12">
        <v>0.862154150197628</v>
      </c>
      <c r="K182" s="10">
        <v>86246</v>
      </c>
      <c r="L182" s="10">
        <v>0.551097623491266</v>
      </c>
      <c r="M182" s="10">
        <v>0.406951037885135</v>
      </c>
      <c r="N182" s="10">
        <v>6995</v>
      </c>
      <c r="O182" s="10">
        <v>3563.3</v>
      </c>
      <c r="P182" s="10">
        <v>17188.8</v>
      </c>
      <c r="Q182" s="12">
        <v>0.207303593037327</v>
      </c>
    </row>
    <row r="183" spans="1:17">
      <c r="A183" s="10">
        <v>2011</v>
      </c>
      <c r="B183" s="10" t="s">
        <v>18</v>
      </c>
      <c r="C183" s="11">
        <v>66.469815</v>
      </c>
      <c r="D183" s="11">
        <v>3.499974</v>
      </c>
      <c r="E183" s="11">
        <v>0.322632</v>
      </c>
      <c r="F183" s="10">
        <v>2.17</v>
      </c>
      <c r="G183" s="10">
        <v>149.14449566</v>
      </c>
      <c r="H183" s="10">
        <v>1341</v>
      </c>
      <c r="I183" s="10">
        <v>1079</v>
      </c>
      <c r="J183" s="12">
        <v>0.80462341536167</v>
      </c>
      <c r="K183" s="10">
        <v>61458</v>
      </c>
      <c r="L183" s="10">
        <v>1.83845295112481</v>
      </c>
      <c r="M183" s="10">
        <v>0.936579352850539</v>
      </c>
      <c r="N183" s="10">
        <v>7598</v>
      </c>
      <c r="O183" s="10">
        <v>3756.3</v>
      </c>
      <c r="P183" s="10">
        <v>8112.5</v>
      </c>
      <c r="Q183" s="12">
        <v>0.463026194144838</v>
      </c>
    </row>
    <row r="184" spans="1:17">
      <c r="A184" s="10">
        <v>2011</v>
      </c>
      <c r="B184" s="10" t="s">
        <v>19</v>
      </c>
      <c r="C184" s="11">
        <v>863.311572</v>
      </c>
      <c r="D184" s="11">
        <v>427.14234</v>
      </c>
      <c r="E184" s="11">
        <v>355.242735</v>
      </c>
      <c r="F184" s="10">
        <v>7.11</v>
      </c>
      <c r="G184" s="10">
        <v>623.457525193333</v>
      </c>
      <c r="H184" s="10">
        <v>7232</v>
      </c>
      <c r="I184" s="10">
        <v>3297</v>
      </c>
      <c r="J184" s="12">
        <v>0.455890486725664</v>
      </c>
      <c r="K184" s="10">
        <v>29647</v>
      </c>
      <c r="L184" s="10">
        <v>2.91543732291467</v>
      </c>
      <c r="M184" s="10">
        <v>1.3793974196505</v>
      </c>
      <c r="N184" s="10">
        <v>29498</v>
      </c>
      <c r="O184" s="10">
        <v>10275.5</v>
      </c>
      <c r="P184" s="10">
        <v>21384.7</v>
      </c>
      <c r="Q184" s="12">
        <v>0.480507091518703</v>
      </c>
    </row>
    <row r="185" spans="1:17">
      <c r="A185" s="10">
        <v>2011</v>
      </c>
      <c r="B185" s="10" t="s">
        <v>20</v>
      </c>
      <c r="C185" s="11">
        <v>554.923233</v>
      </c>
      <c r="D185" s="11">
        <v>374.842998</v>
      </c>
      <c r="E185" s="11">
        <v>554.8635</v>
      </c>
      <c r="F185" s="10">
        <v>3.25</v>
      </c>
      <c r="G185" s="10">
        <v>766.11712276</v>
      </c>
      <c r="H185" s="10">
        <v>3562</v>
      </c>
      <c r="I185" s="10">
        <v>1774</v>
      </c>
      <c r="J185" s="12">
        <v>0.498034811903425</v>
      </c>
      <c r="K185" s="10">
        <v>30534</v>
      </c>
      <c r="L185" s="10">
        <v>7.03221033521809</v>
      </c>
      <c r="M185" s="10">
        <v>1.68113893376414</v>
      </c>
      <c r="N185" s="10">
        <v>18315</v>
      </c>
      <c r="O185" s="10">
        <v>6750.2</v>
      </c>
      <c r="P185" s="10">
        <v>10894.4</v>
      </c>
      <c r="Q185" s="12">
        <v>0.619602731678661</v>
      </c>
    </row>
    <row r="186" spans="1:17">
      <c r="A186" s="10">
        <v>2011</v>
      </c>
      <c r="B186" s="10" t="s">
        <v>21</v>
      </c>
      <c r="C186" s="11">
        <v>1325.854422</v>
      </c>
      <c r="D186" s="11">
        <v>1777.35825</v>
      </c>
      <c r="E186" s="11">
        <v>5539.866786</v>
      </c>
      <c r="F186" s="10">
        <v>4.11</v>
      </c>
      <c r="G186" s="10">
        <v>740.516009926666</v>
      </c>
      <c r="H186" s="10">
        <v>2470</v>
      </c>
      <c r="I186" s="10">
        <v>1409</v>
      </c>
      <c r="J186" s="12">
        <v>0.570445344129555</v>
      </c>
      <c r="K186" s="10">
        <v>38276</v>
      </c>
      <c r="L186" s="10">
        <v>7.82943730692915</v>
      </c>
      <c r="M186" s="10">
        <v>1.98105327708525</v>
      </c>
      <c r="N186" s="10">
        <v>18737</v>
      </c>
      <c r="O186" s="10">
        <v>4044</v>
      </c>
      <c r="P186" s="10">
        <v>9458.1</v>
      </c>
      <c r="Q186" s="12">
        <v>0.427570019348495</v>
      </c>
    </row>
    <row r="187" spans="1:17">
      <c r="A187" s="10">
        <v>2011</v>
      </c>
      <c r="B187" s="10" t="s">
        <v>22</v>
      </c>
      <c r="C187" s="11">
        <v>719.532333</v>
      </c>
      <c r="D187" s="11">
        <v>509.94486</v>
      </c>
      <c r="E187" s="11">
        <v>71.424684</v>
      </c>
      <c r="F187" s="10">
        <v>9.6</v>
      </c>
      <c r="G187" s="10">
        <v>524.4689824</v>
      </c>
      <c r="H187" s="10">
        <v>4379</v>
      </c>
      <c r="I187" s="10">
        <v>2805</v>
      </c>
      <c r="J187" s="12">
        <v>0.640557204841288</v>
      </c>
      <c r="K187" s="10">
        <v>37353</v>
      </c>
      <c r="L187" s="10">
        <v>3.20680030082727</v>
      </c>
      <c r="M187" s="10">
        <v>1.38869696543544</v>
      </c>
      <c r="N187" s="10">
        <v>22712</v>
      </c>
      <c r="O187" s="10">
        <v>8478.7</v>
      </c>
      <c r="P187" s="10">
        <v>16354.9</v>
      </c>
      <c r="Q187" s="12">
        <v>0.518419556218626</v>
      </c>
    </row>
    <row r="188" spans="1:17">
      <c r="A188" s="10">
        <v>2011</v>
      </c>
      <c r="B188" s="10" t="s">
        <v>23</v>
      </c>
      <c r="C188" s="11">
        <v>883.675998</v>
      </c>
      <c r="D188" s="11">
        <v>826.321419</v>
      </c>
      <c r="E188" s="11">
        <v>71.324451</v>
      </c>
      <c r="F188" s="10">
        <v>3.87</v>
      </c>
      <c r="G188" s="10">
        <v>264.668534313333</v>
      </c>
      <c r="H188" s="10">
        <v>2725</v>
      </c>
      <c r="I188" s="10">
        <v>1455</v>
      </c>
      <c r="J188" s="12">
        <v>0.53394495412844</v>
      </c>
      <c r="K188" s="10">
        <v>28270</v>
      </c>
      <c r="L188" s="10">
        <v>3.42187746377748</v>
      </c>
      <c r="M188" s="10">
        <v>1.17691929770124</v>
      </c>
      <c r="N188" s="10">
        <v>9103</v>
      </c>
      <c r="O188" s="10">
        <v>2931.4</v>
      </c>
      <c r="P188" s="10">
        <v>7734.6</v>
      </c>
      <c r="Q188" s="12">
        <v>0.378998267525147</v>
      </c>
    </row>
    <row r="189" spans="1:17">
      <c r="A189" s="10">
        <v>2011</v>
      </c>
      <c r="B189" s="10" t="s">
        <v>24</v>
      </c>
      <c r="C189" s="11">
        <v>1979.972946</v>
      </c>
      <c r="D189" s="11">
        <v>2274.085665</v>
      </c>
      <c r="E189" s="11">
        <v>82.569114</v>
      </c>
      <c r="F189" s="10">
        <v>7.22</v>
      </c>
      <c r="G189" s="10">
        <v>381.240220706667</v>
      </c>
      <c r="H189" s="10">
        <v>3782</v>
      </c>
      <c r="I189" s="10">
        <v>2136</v>
      </c>
      <c r="J189" s="12">
        <v>0.564780539397144</v>
      </c>
      <c r="K189" s="10">
        <v>26093</v>
      </c>
      <c r="L189" s="10">
        <v>3.8373449492367</v>
      </c>
      <c r="M189" s="10">
        <v>1.21982888777051</v>
      </c>
      <c r="N189" s="10">
        <v>12119</v>
      </c>
      <c r="O189" s="10">
        <v>4916.3</v>
      </c>
      <c r="P189" s="10">
        <v>9935</v>
      </c>
      <c r="Q189" s="12">
        <v>0.494846502264721</v>
      </c>
    </row>
    <row r="190" spans="1:17">
      <c r="A190" s="10">
        <v>2011</v>
      </c>
      <c r="B190" s="10" t="s">
        <v>25</v>
      </c>
      <c r="C190" s="11">
        <v>43.768953</v>
      </c>
      <c r="D190" s="11">
        <v>0.129015</v>
      </c>
      <c r="E190" s="11">
        <v>0.012699</v>
      </c>
      <c r="F190" s="10">
        <v>12.23</v>
      </c>
      <c r="G190" s="10">
        <v>170.602964113333</v>
      </c>
      <c r="H190" s="10">
        <v>2356</v>
      </c>
      <c r="I190" s="10">
        <v>2104</v>
      </c>
      <c r="J190" s="12">
        <v>0.893039049235993</v>
      </c>
      <c r="K190" s="10">
        <v>85897</v>
      </c>
      <c r="L190" s="10">
        <v>0.852601308931835</v>
      </c>
      <c r="M190" s="10">
        <v>0.563226834985032</v>
      </c>
      <c r="N190" s="10">
        <v>11270</v>
      </c>
      <c r="O190" s="10">
        <v>8169.3</v>
      </c>
      <c r="P190" s="10">
        <v>20009.7</v>
      </c>
      <c r="Q190" s="12">
        <v>0.408266990509603</v>
      </c>
    </row>
    <row r="191" spans="1:17">
      <c r="A191" s="10">
        <v>2011</v>
      </c>
      <c r="B191" s="10" t="s">
        <v>26</v>
      </c>
      <c r="C191" s="11">
        <v>727.356843</v>
      </c>
      <c r="D191" s="11">
        <v>18.710271</v>
      </c>
      <c r="E191" s="11">
        <v>0.263232</v>
      </c>
      <c r="F191" s="10">
        <v>23.75</v>
      </c>
      <c r="G191" s="10">
        <v>613.10788852</v>
      </c>
      <c r="H191" s="10">
        <v>8023</v>
      </c>
      <c r="I191" s="10">
        <v>4975</v>
      </c>
      <c r="J191" s="12">
        <v>0.620092234824879</v>
      </c>
      <c r="K191" s="10">
        <v>61464</v>
      </c>
      <c r="L191" s="10">
        <v>1.25536021990532</v>
      </c>
      <c r="M191" s="10">
        <v>0.564894592868024</v>
      </c>
      <c r="N191" s="10">
        <v>27589</v>
      </c>
      <c r="O191" s="10">
        <v>25231.2</v>
      </c>
      <c r="P191" s="10">
        <v>48839.2</v>
      </c>
      <c r="Q191" s="12">
        <v>0.516617798817343</v>
      </c>
    </row>
    <row r="192" spans="1:17">
      <c r="A192" s="10">
        <v>2011</v>
      </c>
      <c r="B192" s="10" t="s">
        <v>27</v>
      </c>
      <c r="C192" s="11">
        <v>235.195092</v>
      </c>
      <c r="D192" s="11">
        <v>693.831267</v>
      </c>
      <c r="E192" s="11">
        <v>0.188622</v>
      </c>
      <c r="F192" s="10">
        <v>10.52</v>
      </c>
      <c r="G192" s="10">
        <v>398.622661</v>
      </c>
      <c r="H192" s="10">
        <v>5570</v>
      </c>
      <c r="I192" s="10">
        <v>3470</v>
      </c>
      <c r="J192" s="12">
        <v>0.622980251346499</v>
      </c>
      <c r="K192" s="10">
        <v>57828</v>
      </c>
      <c r="L192" s="10">
        <v>1.25137392480882</v>
      </c>
      <c r="M192" s="10">
        <v>0.559633085123749</v>
      </c>
      <c r="N192" s="10">
        <v>17827</v>
      </c>
      <c r="O192" s="10">
        <v>16271</v>
      </c>
      <c r="P192" s="10">
        <v>31854.8</v>
      </c>
      <c r="Q192" s="12">
        <v>0.510786443487324</v>
      </c>
    </row>
    <row r="193" spans="1:17">
      <c r="A193" s="10">
        <v>2011</v>
      </c>
      <c r="B193" s="10" t="s">
        <v>28</v>
      </c>
      <c r="C193" s="11">
        <v>843.920037</v>
      </c>
      <c r="D193" s="11">
        <v>379.619055</v>
      </c>
      <c r="E193" s="11">
        <v>0.893592</v>
      </c>
      <c r="F193" s="10">
        <v>7.6</v>
      </c>
      <c r="G193" s="10">
        <v>315.387194186667</v>
      </c>
      <c r="H193" s="10">
        <v>5972</v>
      </c>
      <c r="I193" s="10">
        <v>2675</v>
      </c>
      <c r="J193" s="12">
        <v>0.447923643670462</v>
      </c>
      <c r="K193" s="10">
        <v>27303</v>
      </c>
      <c r="L193" s="10">
        <v>1.93668486872297</v>
      </c>
      <c r="M193" s="10">
        <v>0.649067541096353</v>
      </c>
      <c r="N193" s="10">
        <v>10570</v>
      </c>
      <c r="O193" s="10">
        <v>8189.1</v>
      </c>
      <c r="P193" s="10">
        <v>16284.9</v>
      </c>
      <c r="Q193" s="12">
        <v>0.502864616915056</v>
      </c>
    </row>
    <row r="194" spans="1:17">
      <c r="A194" s="10">
        <v>2011</v>
      </c>
      <c r="B194" s="10" t="s">
        <v>29</v>
      </c>
      <c r="C194" s="11">
        <v>138.685509</v>
      </c>
      <c r="D194" s="11">
        <v>1032.712785</v>
      </c>
      <c r="E194" s="11">
        <v>0.814653</v>
      </c>
      <c r="F194" s="10">
        <v>5.08</v>
      </c>
      <c r="G194" s="10">
        <v>210.151533453333</v>
      </c>
      <c r="H194" s="10">
        <v>3784</v>
      </c>
      <c r="I194" s="10">
        <v>2199</v>
      </c>
      <c r="J194" s="12">
        <v>0.581131078224101</v>
      </c>
      <c r="K194" s="10">
        <v>47928</v>
      </c>
      <c r="L194" s="10">
        <v>1.17287114670596</v>
      </c>
      <c r="M194" s="10">
        <v>0.594551756084765</v>
      </c>
      <c r="N194" s="10">
        <v>10653</v>
      </c>
      <c r="O194" s="10">
        <v>9316.6</v>
      </c>
      <c r="P194" s="10">
        <v>17917.7</v>
      </c>
      <c r="Q194" s="12">
        <v>0.519966290316279</v>
      </c>
    </row>
    <row r="195" spans="1:17">
      <c r="A195" s="10">
        <v>2011</v>
      </c>
      <c r="B195" s="10" t="s">
        <v>30</v>
      </c>
      <c r="C195" s="11">
        <v>461.788029</v>
      </c>
      <c r="D195" s="11">
        <v>1100.759733</v>
      </c>
      <c r="E195" s="11">
        <v>1.507383</v>
      </c>
      <c r="F195" s="10">
        <v>4.51</v>
      </c>
      <c r="G195" s="10">
        <v>144.74835432</v>
      </c>
      <c r="H195" s="10">
        <v>4474</v>
      </c>
      <c r="I195" s="10">
        <v>2047</v>
      </c>
      <c r="J195" s="12">
        <v>0.457532409476978</v>
      </c>
      <c r="K195" s="10">
        <v>25928</v>
      </c>
      <c r="L195" s="10">
        <v>1.24950023151625</v>
      </c>
      <c r="M195" s="10">
        <v>0.598040485130994</v>
      </c>
      <c r="N195" s="10">
        <v>6928</v>
      </c>
      <c r="O195" s="10">
        <v>6338</v>
      </c>
      <c r="P195" s="10">
        <v>11584.5</v>
      </c>
      <c r="Q195" s="12">
        <v>0.547110362985023</v>
      </c>
    </row>
    <row r="196" spans="1:17">
      <c r="A196" s="10">
        <v>2011</v>
      </c>
      <c r="B196" s="10" t="s">
        <v>31</v>
      </c>
      <c r="C196" s="11">
        <v>1114.052301</v>
      </c>
      <c r="D196" s="11">
        <v>67.510908</v>
      </c>
      <c r="E196" s="11">
        <v>29.159271</v>
      </c>
      <c r="F196" s="10">
        <v>16.56</v>
      </c>
      <c r="G196" s="10">
        <v>976.556841073333</v>
      </c>
      <c r="H196" s="10">
        <v>9665</v>
      </c>
      <c r="I196" s="10">
        <v>4916</v>
      </c>
      <c r="J196" s="12">
        <v>0.508639420589757</v>
      </c>
      <c r="K196" s="10">
        <v>40581</v>
      </c>
      <c r="L196" s="10">
        <v>2.49983192347435</v>
      </c>
      <c r="M196" s="10">
        <v>0.950520800002048</v>
      </c>
      <c r="N196" s="10">
        <v>37132</v>
      </c>
      <c r="O196" s="10">
        <v>19926.1</v>
      </c>
      <c r="P196" s="10">
        <v>39064.9</v>
      </c>
      <c r="Q196" s="12">
        <v>0.510076820880125</v>
      </c>
    </row>
    <row r="197" spans="1:17">
      <c r="A197" s="10">
        <v>2011</v>
      </c>
      <c r="B197" s="10" t="s">
        <v>32</v>
      </c>
      <c r="C197" s="11">
        <v>1124.164872</v>
      </c>
      <c r="D197" s="11">
        <v>284.765535</v>
      </c>
      <c r="E197" s="11">
        <v>27.962415</v>
      </c>
      <c r="F197" s="10">
        <v>6.96</v>
      </c>
      <c r="G197" s="10">
        <v>654.10037156</v>
      </c>
      <c r="H197" s="10">
        <v>9461</v>
      </c>
      <c r="I197" s="10">
        <v>3829</v>
      </c>
      <c r="J197" s="12">
        <v>0.404714089419723</v>
      </c>
      <c r="K197" s="10">
        <v>27901</v>
      </c>
      <c r="L197" s="10">
        <v>2.485306537025</v>
      </c>
      <c r="M197" s="10">
        <v>0.876259085745117</v>
      </c>
      <c r="N197" s="10">
        <v>23062</v>
      </c>
      <c r="O197" s="10">
        <v>14021.6</v>
      </c>
      <c r="P197" s="10">
        <v>26318.7</v>
      </c>
      <c r="Q197" s="12">
        <v>0.532761876536455</v>
      </c>
    </row>
    <row r="198" spans="1:17">
      <c r="A198" s="10">
        <v>2011</v>
      </c>
      <c r="B198" s="10" t="s">
        <v>33</v>
      </c>
      <c r="C198" s="11">
        <v>826.493634</v>
      </c>
      <c r="D198" s="11">
        <v>899.773758</v>
      </c>
      <c r="E198" s="11">
        <v>4.686201</v>
      </c>
      <c r="F198" s="10">
        <v>6.21</v>
      </c>
      <c r="G198" s="10">
        <v>321.88090454</v>
      </c>
      <c r="H198" s="10">
        <v>5760</v>
      </c>
      <c r="I198" s="10">
        <v>2983</v>
      </c>
      <c r="J198" s="12">
        <v>0.517881944444444</v>
      </c>
      <c r="K198" s="10">
        <v>34719</v>
      </c>
      <c r="L198" s="10">
        <v>1.61404490179265</v>
      </c>
      <c r="M198" s="10">
        <v>0.831340102795537</v>
      </c>
      <c r="N198" s="10">
        <v>16579</v>
      </c>
      <c r="O198" s="10">
        <v>9766.1</v>
      </c>
      <c r="P198" s="10">
        <v>19942.5</v>
      </c>
      <c r="Q198" s="12">
        <v>0.489712924658393</v>
      </c>
    </row>
    <row r="199" spans="1:17">
      <c r="A199" s="10">
        <v>2011</v>
      </c>
      <c r="B199" s="10" t="s">
        <v>34</v>
      </c>
      <c r="C199" s="11">
        <v>720.04959</v>
      </c>
      <c r="D199" s="11">
        <v>1313.658351</v>
      </c>
      <c r="E199" s="11">
        <v>0.727848</v>
      </c>
      <c r="F199" s="10">
        <v>4.96</v>
      </c>
      <c r="G199" s="10">
        <v>269.55956674</v>
      </c>
      <c r="H199" s="10">
        <v>6581</v>
      </c>
      <c r="I199" s="10">
        <v>2959</v>
      </c>
      <c r="J199" s="12">
        <v>0.44962771615256</v>
      </c>
      <c r="K199" s="10">
        <v>28766</v>
      </c>
      <c r="L199" s="10">
        <v>1.42511005413693</v>
      </c>
      <c r="M199" s="10">
        <v>0.854401268834258</v>
      </c>
      <c r="N199" s="10">
        <v>16161</v>
      </c>
      <c r="O199" s="10">
        <v>8883.6</v>
      </c>
      <c r="P199" s="10">
        <v>18915</v>
      </c>
      <c r="Q199" s="12">
        <v>0.469659000793021</v>
      </c>
    </row>
    <row r="200" spans="1:17">
      <c r="A200" s="10">
        <v>2011</v>
      </c>
      <c r="B200" s="10" t="s">
        <v>35</v>
      </c>
      <c r="C200" s="11">
        <v>458.17542</v>
      </c>
      <c r="D200" s="11">
        <v>1156.897197</v>
      </c>
      <c r="E200" s="11">
        <v>2.287575</v>
      </c>
      <c r="F200" s="10">
        <v>41.06</v>
      </c>
      <c r="G200" s="10">
        <v>501.36157366</v>
      </c>
      <c r="H200" s="10">
        <v>10756</v>
      </c>
      <c r="I200" s="10">
        <v>7160</v>
      </c>
      <c r="J200" s="12">
        <v>0.665674972108591</v>
      </c>
      <c r="K200" s="10">
        <v>50076</v>
      </c>
      <c r="L200" s="10">
        <v>0.944667652092974</v>
      </c>
      <c r="M200" s="10">
        <v>0.536621395517101</v>
      </c>
      <c r="N200" s="10">
        <v>28480</v>
      </c>
      <c r="O200" s="10">
        <v>26161.1</v>
      </c>
      <c r="P200" s="10">
        <v>53072.8</v>
      </c>
      <c r="Q200" s="12">
        <v>0.492928581118765</v>
      </c>
    </row>
    <row r="201" spans="1:17">
      <c r="A201" s="10">
        <v>2011</v>
      </c>
      <c r="B201" s="10" t="s">
        <v>36</v>
      </c>
      <c r="C201" s="11">
        <v>585.97299</v>
      </c>
      <c r="D201" s="11">
        <v>1670.368797</v>
      </c>
      <c r="E201" s="11">
        <v>1.994103</v>
      </c>
      <c r="F201" s="10">
        <v>6.45</v>
      </c>
      <c r="G201" s="10">
        <v>173.337155086667</v>
      </c>
      <c r="H201" s="10">
        <v>4655</v>
      </c>
      <c r="I201" s="10">
        <v>1950</v>
      </c>
      <c r="J201" s="12">
        <v>0.41890440386681</v>
      </c>
      <c r="K201" s="10">
        <v>22234</v>
      </c>
      <c r="L201" s="10">
        <v>1.68290133968938</v>
      </c>
      <c r="M201" s="10">
        <v>0.834085767822989</v>
      </c>
      <c r="N201" s="10">
        <v>8591</v>
      </c>
      <c r="O201" s="10">
        <v>4241.2</v>
      </c>
      <c r="P201" s="10">
        <v>10299.9</v>
      </c>
      <c r="Q201" s="12">
        <v>0.411770988067845</v>
      </c>
    </row>
    <row r="202" spans="1:17">
      <c r="A202" s="10">
        <v>2011</v>
      </c>
      <c r="B202" s="10" t="s">
        <v>37</v>
      </c>
      <c r="C202" s="11">
        <v>84.733353</v>
      </c>
      <c r="D202" s="11">
        <v>242.32464</v>
      </c>
      <c r="E202" s="11">
        <v>0.474003</v>
      </c>
      <c r="F202" s="10">
        <v>4.98</v>
      </c>
      <c r="G202" s="10">
        <v>52.9703121866667</v>
      </c>
      <c r="H202" s="10">
        <v>890</v>
      </c>
      <c r="I202" s="10">
        <v>448</v>
      </c>
      <c r="J202" s="12">
        <v>0.503370786516854</v>
      </c>
      <c r="K202" s="10">
        <v>28014</v>
      </c>
      <c r="L202" s="10">
        <v>2.14994367183483</v>
      </c>
      <c r="M202" s="10">
        <v>0.649809237762805</v>
      </c>
      <c r="N202" s="10">
        <v>1601</v>
      </c>
      <c r="O202" s="10">
        <v>671.3</v>
      </c>
      <c r="P202" s="10">
        <v>2463.8</v>
      </c>
      <c r="Q202" s="12">
        <v>0.272465297507915</v>
      </c>
    </row>
    <row r="203" spans="1:17">
      <c r="A203" s="10">
        <v>2011</v>
      </c>
      <c r="B203" s="10" t="s">
        <v>38</v>
      </c>
      <c r="C203" s="11">
        <v>356.58288</v>
      </c>
      <c r="D203" s="11">
        <v>436.761873</v>
      </c>
      <c r="E203" s="11">
        <v>0.959148</v>
      </c>
      <c r="F203" s="10">
        <v>4.39</v>
      </c>
      <c r="G203" s="10">
        <v>150.708318506667</v>
      </c>
      <c r="H203" s="10">
        <v>2944</v>
      </c>
      <c r="I203" s="10">
        <v>1619</v>
      </c>
      <c r="J203" s="12">
        <v>0.549932065217391</v>
      </c>
      <c r="K203" s="10">
        <v>34864</v>
      </c>
      <c r="L203" s="10">
        <v>1.48317441352071</v>
      </c>
      <c r="M203" s="10">
        <v>0.865252135574538</v>
      </c>
      <c r="N203" s="10">
        <v>8792</v>
      </c>
      <c r="O203" s="10">
        <v>4571.3</v>
      </c>
      <c r="P203" s="10">
        <v>10161.2</v>
      </c>
      <c r="Q203" s="12">
        <v>0.449877967169232</v>
      </c>
    </row>
    <row r="204" spans="1:17">
      <c r="A204" s="10">
        <v>2011</v>
      </c>
      <c r="B204" s="10" t="s">
        <v>39</v>
      </c>
      <c r="C204" s="11">
        <v>1171.918935</v>
      </c>
      <c r="D204" s="11">
        <v>1903.627152</v>
      </c>
      <c r="E204" s="11">
        <v>1628.056719</v>
      </c>
      <c r="F204" s="10">
        <v>7.74</v>
      </c>
      <c r="G204" s="10">
        <v>280.3755627</v>
      </c>
      <c r="H204" s="10">
        <v>8064</v>
      </c>
      <c r="I204" s="10">
        <v>3375</v>
      </c>
      <c r="J204" s="12">
        <v>0.418526785714286</v>
      </c>
      <c r="K204" s="10">
        <v>26136</v>
      </c>
      <c r="L204" s="10">
        <v>1.33189347106299</v>
      </c>
      <c r="M204" s="10">
        <v>0.935636956139642</v>
      </c>
      <c r="N204" s="10">
        <v>19696</v>
      </c>
      <c r="O204" s="10">
        <v>10014.4</v>
      </c>
      <c r="P204" s="10">
        <v>21050.9</v>
      </c>
      <c r="Q204" s="12">
        <v>0.475723128227297</v>
      </c>
    </row>
    <row r="205" spans="1:17">
      <c r="A205" s="10">
        <v>2011</v>
      </c>
      <c r="B205" s="10" t="s">
        <v>40</v>
      </c>
      <c r="C205" s="11">
        <v>607.299903</v>
      </c>
      <c r="D205" s="11">
        <v>1041.886314</v>
      </c>
      <c r="E205" s="11">
        <v>28.365498</v>
      </c>
      <c r="F205" s="10">
        <v>3.05</v>
      </c>
      <c r="G205" s="10">
        <v>268.690861026667</v>
      </c>
      <c r="H205" s="10">
        <v>3530</v>
      </c>
      <c r="I205" s="10">
        <v>1237</v>
      </c>
      <c r="J205" s="12">
        <v>0.35042492917847</v>
      </c>
      <c r="K205" s="10">
        <v>16024</v>
      </c>
      <c r="L205" s="10">
        <v>4.78472222071847</v>
      </c>
      <c r="M205" s="10">
        <v>1.61478737801838</v>
      </c>
      <c r="N205" s="10">
        <v>9068</v>
      </c>
      <c r="O205" s="10">
        <v>2258.9</v>
      </c>
      <c r="P205" s="10">
        <v>5615.6</v>
      </c>
      <c r="Q205" s="12">
        <v>0.402254434076501</v>
      </c>
    </row>
    <row r="206" spans="1:17">
      <c r="A206" s="10">
        <v>2011</v>
      </c>
      <c r="B206" s="10" t="s">
        <v>41</v>
      </c>
      <c r="C206" s="11">
        <v>795.4857</v>
      </c>
      <c r="D206" s="11">
        <v>2630.045223</v>
      </c>
      <c r="E206" s="11">
        <v>267.759567</v>
      </c>
      <c r="F206" s="10">
        <v>3.19</v>
      </c>
      <c r="G206" s="10">
        <v>187.806658</v>
      </c>
      <c r="H206" s="10">
        <v>4620</v>
      </c>
      <c r="I206" s="10">
        <v>1690</v>
      </c>
      <c r="J206" s="12">
        <v>0.365800865800866</v>
      </c>
      <c r="K206" s="10">
        <v>20653</v>
      </c>
      <c r="L206" s="10">
        <v>1.97211683170396</v>
      </c>
      <c r="M206" s="10">
        <v>1.0017746322101</v>
      </c>
      <c r="N206" s="10">
        <v>9540</v>
      </c>
      <c r="O206" s="10">
        <v>3811.4</v>
      </c>
      <c r="P206" s="10">
        <v>9523.1</v>
      </c>
      <c r="Q206" s="12">
        <v>0.400226816897859</v>
      </c>
    </row>
    <row r="207" spans="1:17">
      <c r="A207" s="10">
        <v>2011</v>
      </c>
      <c r="B207" s="10" t="s">
        <v>42</v>
      </c>
      <c r="C207" s="11">
        <v>547.771113</v>
      </c>
      <c r="D207" s="11">
        <v>892.864629</v>
      </c>
      <c r="E207" s="11">
        <v>558.031806</v>
      </c>
      <c r="F207" s="10">
        <v>2.82</v>
      </c>
      <c r="G207" s="10">
        <v>344.519430633333</v>
      </c>
      <c r="H207" s="10">
        <v>3765</v>
      </c>
      <c r="I207" s="10">
        <v>1783</v>
      </c>
      <c r="J207" s="12">
        <v>0.473572377158035</v>
      </c>
      <c r="K207" s="10">
        <v>32467</v>
      </c>
      <c r="L207" s="10">
        <v>2.82970514109398</v>
      </c>
      <c r="M207" s="10">
        <v>0.801718261040977</v>
      </c>
      <c r="N207" s="10">
        <v>9761</v>
      </c>
      <c r="O207" s="10">
        <v>6484.3</v>
      </c>
      <c r="P207" s="10">
        <v>12175.1</v>
      </c>
      <c r="Q207" s="12">
        <v>0.532587001338798</v>
      </c>
    </row>
    <row r="208" spans="1:17">
      <c r="A208" s="10">
        <v>2011</v>
      </c>
      <c r="B208" s="10" t="s">
        <v>43</v>
      </c>
      <c r="C208" s="11">
        <v>549.242577</v>
      </c>
      <c r="D208" s="11">
        <v>364.623795</v>
      </c>
      <c r="E208" s="11">
        <v>1554.297165</v>
      </c>
      <c r="F208" s="10">
        <v>1.63</v>
      </c>
      <c r="G208" s="10">
        <v>169.6941547</v>
      </c>
      <c r="H208" s="10">
        <v>2552</v>
      </c>
      <c r="I208" s="10">
        <v>951</v>
      </c>
      <c r="J208" s="12">
        <v>0.372648902821317</v>
      </c>
      <c r="K208" s="10">
        <v>18846</v>
      </c>
      <c r="L208" s="10">
        <v>3.52289137619631</v>
      </c>
      <c r="M208" s="10">
        <v>1.34858518964479</v>
      </c>
      <c r="N208" s="10">
        <v>6496</v>
      </c>
      <c r="O208" s="10">
        <v>2288.6</v>
      </c>
      <c r="P208" s="10">
        <v>4816.9</v>
      </c>
      <c r="Q208" s="12">
        <v>0.475118852373933</v>
      </c>
    </row>
    <row r="209" spans="1:17">
      <c r="A209" s="10">
        <v>2011</v>
      </c>
      <c r="B209" s="10" t="s">
        <v>44</v>
      </c>
      <c r="C209" s="11">
        <v>62.80578</v>
      </c>
      <c r="D209" s="11">
        <v>60.518403</v>
      </c>
      <c r="E209" s="11">
        <v>4617.938925</v>
      </c>
      <c r="F209" s="10">
        <v>0.39</v>
      </c>
      <c r="G209" s="10">
        <v>50.1008561733333</v>
      </c>
      <c r="H209" s="10">
        <v>568</v>
      </c>
      <c r="I209" s="10">
        <v>264</v>
      </c>
      <c r="J209" s="12">
        <v>0.464788732394366</v>
      </c>
      <c r="K209" s="10">
        <v>24233</v>
      </c>
      <c r="L209" s="10">
        <v>3.65592937633781</v>
      </c>
      <c r="M209" s="10">
        <v>2.32705779334501</v>
      </c>
      <c r="N209" s="10">
        <v>3189</v>
      </c>
      <c r="O209" s="10">
        <v>553.1</v>
      </c>
      <c r="P209" s="10">
        <v>1370.4</v>
      </c>
      <c r="Q209" s="12">
        <v>0.403604786923526</v>
      </c>
    </row>
    <row r="210" spans="1:17">
      <c r="A210" s="10">
        <v>2011</v>
      </c>
      <c r="B210" s="10" t="s">
        <v>45</v>
      </c>
      <c r="C210" s="11">
        <v>133.893585</v>
      </c>
      <c r="D210" s="11">
        <v>6.971292</v>
      </c>
      <c r="E210" s="11">
        <v>349.782021</v>
      </c>
      <c r="F210" s="10">
        <v>1.84</v>
      </c>
      <c r="G210" s="10">
        <v>190.948225753333</v>
      </c>
      <c r="H210" s="10">
        <v>648</v>
      </c>
      <c r="I210" s="10">
        <v>325</v>
      </c>
      <c r="J210" s="12">
        <v>0.501543209876543</v>
      </c>
      <c r="K210" s="10">
        <v>30161</v>
      </c>
      <c r="L210" s="10">
        <v>9.88447177520102</v>
      </c>
      <c r="M210" s="10">
        <v>2.23418573351279</v>
      </c>
      <c r="N210" s="10">
        <v>4316</v>
      </c>
      <c r="O210" s="10">
        <v>919.8</v>
      </c>
      <c r="P210" s="10">
        <v>1931.8</v>
      </c>
      <c r="Q210" s="12">
        <v>0.476136245988198</v>
      </c>
    </row>
    <row r="211" spans="1:17">
      <c r="A211" s="10">
        <v>2011</v>
      </c>
      <c r="B211" s="10" t="s">
        <v>46</v>
      </c>
      <c r="C211" s="11">
        <v>788.062113</v>
      </c>
      <c r="D211" s="11">
        <v>172.303938</v>
      </c>
      <c r="E211" s="11">
        <v>3852.715311</v>
      </c>
      <c r="F211" s="10">
        <v>4.41</v>
      </c>
      <c r="G211" s="10">
        <v>286.311098393333</v>
      </c>
      <c r="H211" s="10">
        <v>2225</v>
      </c>
      <c r="I211" s="10">
        <v>973</v>
      </c>
      <c r="J211" s="12">
        <v>0.437303370786517</v>
      </c>
      <c r="K211" s="10">
        <v>29624</v>
      </c>
      <c r="L211" s="10">
        <v>4.38320726260461</v>
      </c>
      <c r="M211" s="10">
        <v>1.51974892835273</v>
      </c>
      <c r="N211" s="10">
        <v>9927</v>
      </c>
      <c r="O211" s="10">
        <v>3093.4</v>
      </c>
      <c r="P211" s="10">
        <v>6532</v>
      </c>
      <c r="Q211" s="12">
        <v>0.47357624004899</v>
      </c>
    </row>
    <row r="212" spans="1:17">
      <c r="A212" s="10">
        <v>2012</v>
      </c>
      <c r="B212" s="10" t="s">
        <v>17</v>
      </c>
      <c r="C212" s="11">
        <v>45.517392</v>
      </c>
      <c r="D212" s="11">
        <v>78.804774</v>
      </c>
      <c r="E212" s="11">
        <v>5.034735</v>
      </c>
      <c r="F212" s="10">
        <v>6.55</v>
      </c>
      <c r="G212" s="10">
        <v>95.9373776253333</v>
      </c>
      <c r="H212" s="10">
        <v>2078</v>
      </c>
      <c r="I212" s="10">
        <v>1793</v>
      </c>
      <c r="J212" s="12">
        <v>0.862848893166506</v>
      </c>
      <c r="K212" s="10">
        <v>92758</v>
      </c>
      <c r="L212" s="10">
        <v>0.504278005042567</v>
      </c>
      <c r="M212" s="10">
        <v>0.377298985003706</v>
      </c>
      <c r="N212" s="10">
        <v>7178</v>
      </c>
      <c r="O212" s="10">
        <v>3856</v>
      </c>
      <c r="P212" s="10">
        <v>19024.7</v>
      </c>
      <c r="Q212" s="12">
        <v>0.202683879377861</v>
      </c>
    </row>
    <row r="213" spans="1:17">
      <c r="A213" s="10">
        <v>2012</v>
      </c>
      <c r="B213" s="10" t="s">
        <v>18</v>
      </c>
      <c r="C213" s="11">
        <v>65.589462</v>
      </c>
      <c r="D213" s="11">
        <v>3.543732</v>
      </c>
      <c r="E213" s="11">
        <v>0.304128</v>
      </c>
      <c r="F213" s="10">
        <v>2.23</v>
      </c>
      <c r="G213" s="10">
        <v>143.136925686667</v>
      </c>
      <c r="H213" s="10">
        <v>1378</v>
      </c>
      <c r="I213" s="10">
        <v>1124</v>
      </c>
      <c r="J213" s="12">
        <v>0.815674891146589</v>
      </c>
      <c r="K213" s="10">
        <v>66517</v>
      </c>
      <c r="L213" s="10">
        <v>1.58284779040879</v>
      </c>
      <c r="M213" s="10">
        <v>0.907663386044454</v>
      </c>
      <c r="N213" s="10">
        <v>8208</v>
      </c>
      <c r="O213" s="10">
        <v>4134</v>
      </c>
      <c r="P213" s="10">
        <v>9043</v>
      </c>
      <c r="Q213" s="12">
        <v>0.457149176158355</v>
      </c>
    </row>
    <row r="214" spans="1:17">
      <c r="A214" s="10">
        <v>2012</v>
      </c>
      <c r="B214" s="10" t="s">
        <v>19</v>
      </c>
      <c r="C214" s="11">
        <v>856.222776</v>
      </c>
      <c r="D214" s="11">
        <v>430.255773</v>
      </c>
      <c r="E214" s="11">
        <v>354.187341</v>
      </c>
      <c r="F214" s="10">
        <v>7.35</v>
      </c>
      <c r="G214" s="10">
        <v>642.307062198654</v>
      </c>
      <c r="H214" s="10">
        <v>7262</v>
      </c>
      <c r="I214" s="10">
        <v>3384</v>
      </c>
      <c r="J214" s="12">
        <v>0.465987331313688</v>
      </c>
      <c r="K214" s="10">
        <v>31844</v>
      </c>
      <c r="L214" s="10">
        <v>2.7832610213353</v>
      </c>
      <c r="M214" s="10">
        <v>1.31080056331925</v>
      </c>
      <c r="N214" s="10">
        <v>30250</v>
      </c>
      <c r="O214" s="10">
        <v>10919.7</v>
      </c>
      <c r="P214" s="10">
        <v>23077.5</v>
      </c>
      <c r="Q214" s="12">
        <v>0.473175170620734</v>
      </c>
    </row>
    <row r="215" spans="1:17">
      <c r="A215" s="10">
        <v>2012</v>
      </c>
      <c r="B215" s="10" t="s">
        <v>20</v>
      </c>
      <c r="C215" s="11">
        <v>555.222942</v>
      </c>
      <c r="D215" s="11">
        <v>378.549774</v>
      </c>
      <c r="E215" s="11">
        <v>548.997318</v>
      </c>
      <c r="F215" s="10">
        <v>3.57</v>
      </c>
      <c r="G215" s="10">
        <v>854.669884606666</v>
      </c>
      <c r="H215" s="10">
        <v>3548</v>
      </c>
      <c r="I215" s="10">
        <v>1821</v>
      </c>
      <c r="J215" s="12">
        <v>0.513246899661781</v>
      </c>
      <c r="K215" s="10">
        <v>32864</v>
      </c>
      <c r="L215" s="10">
        <v>7.31543755173427</v>
      </c>
      <c r="M215" s="10">
        <v>1.65504018625194</v>
      </c>
      <c r="N215" s="10">
        <v>19336</v>
      </c>
      <c r="O215" s="10">
        <v>6852.7</v>
      </c>
      <c r="P215" s="10">
        <v>11683.1</v>
      </c>
      <c r="Q215" s="12">
        <v>0.586548090832057</v>
      </c>
    </row>
    <row r="216" spans="1:17">
      <c r="A216" s="10">
        <v>2012</v>
      </c>
      <c r="B216" s="10" t="s">
        <v>21</v>
      </c>
      <c r="C216" s="11">
        <v>1335.726459</v>
      </c>
      <c r="D216" s="11">
        <v>1780.580943</v>
      </c>
      <c r="E216" s="11">
        <v>5532.658254</v>
      </c>
      <c r="F216" s="10">
        <v>4.67</v>
      </c>
      <c r="G216" s="10">
        <v>788.691673836333</v>
      </c>
      <c r="H216" s="10">
        <v>2464</v>
      </c>
      <c r="I216" s="10">
        <v>1439</v>
      </c>
      <c r="J216" s="12">
        <v>0.58400974025974</v>
      </c>
      <c r="K216" s="10">
        <v>42441</v>
      </c>
      <c r="L216" s="10">
        <v>7.53279981887788</v>
      </c>
      <c r="M216" s="10">
        <v>1.88976227543194</v>
      </c>
      <c r="N216" s="10">
        <v>19786</v>
      </c>
      <c r="O216" s="10">
        <v>4553.6</v>
      </c>
      <c r="P216" s="10">
        <v>10470.1</v>
      </c>
      <c r="Q216" s="12">
        <v>0.434914661751082</v>
      </c>
    </row>
    <row r="217" spans="1:17">
      <c r="A217" s="10">
        <v>2012</v>
      </c>
      <c r="B217" s="10" t="s">
        <v>22</v>
      </c>
      <c r="C217" s="11">
        <v>717.714036</v>
      </c>
      <c r="D217" s="11">
        <v>509.633064</v>
      </c>
      <c r="E217" s="11">
        <v>70.922286</v>
      </c>
      <c r="F217" s="10">
        <v>11.83</v>
      </c>
      <c r="G217" s="10">
        <v>543.27432838</v>
      </c>
      <c r="H217" s="10">
        <v>4375</v>
      </c>
      <c r="I217" s="10">
        <v>2872</v>
      </c>
      <c r="J217" s="12">
        <v>0.656457142857143</v>
      </c>
      <c r="K217" s="10">
        <v>40778</v>
      </c>
      <c r="L217" s="10">
        <v>3.043792389207</v>
      </c>
      <c r="M217" s="10">
        <v>1.31808657261634</v>
      </c>
      <c r="N217" s="10">
        <v>23526</v>
      </c>
      <c r="O217" s="10">
        <v>8886.9</v>
      </c>
      <c r="P217" s="10">
        <v>17848.6</v>
      </c>
      <c r="Q217" s="12">
        <v>0.497904597559472</v>
      </c>
    </row>
    <row r="218" spans="1:17">
      <c r="A218" s="10">
        <v>2012</v>
      </c>
      <c r="B218" s="10" t="s">
        <v>23</v>
      </c>
      <c r="C218" s="11">
        <v>889.259256</v>
      </c>
      <c r="D218" s="11">
        <v>824.087844</v>
      </c>
      <c r="E218" s="11">
        <v>65.899386</v>
      </c>
      <c r="F218" s="10">
        <v>3.88</v>
      </c>
      <c r="G218" s="10">
        <v>265.3038112</v>
      </c>
      <c r="H218" s="10">
        <v>2698</v>
      </c>
      <c r="I218" s="10">
        <v>1471</v>
      </c>
      <c r="J218" s="12">
        <v>0.545218680504077</v>
      </c>
      <c r="K218" s="10">
        <v>32005</v>
      </c>
      <c r="L218" s="10">
        <v>3.05719994468772</v>
      </c>
      <c r="M218" s="10">
        <v>1.08815395252362</v>
      </c>
      <c r="N218" s="10">
        <v>9443</v>
      </c>
      <c r="O218" s="10">
        <v>3315.2</v>
      </c>
      <c r="P218" s="10">
        <v>8678</v>
      </c>
      <c r="Q218" s="12">
        <v>0.382023507720673</v>
      </c>
    </row>
    <row r="219" spans="1:17">
      <c r="A219" s="10">
        <v>2012</v>
      </c>
      <c r="B219" s="10" t="s">
        <v>24</v>
      </c>
      <c r="C219" s="11">
        <v>1994.095701</v>
      </c>
      <c r="D219" s="11">
        <v>2263.3488</v>
      </c>
      <c r="E219" s="11">
        <v>76.294458</v>
      </c>
      <c r="F219" s="10">
        <v>7.38</v>
      </c>
      <c r="G219" s="10">
        <v>393.330742906667</v>
      </c>
      <c r="H219" s="10">
        <v>3724</v>
      </c>
      <c r="I219" s="10">
        <v>2118</v>
      </c>
      <c r="J219" s="12">
        <v>0.5687432867884</v>
      </c>
      <c r="K219" s="10">
        <v>29352</v>
      </c>
      <c r="L219" s="10">
        <v>3.57060533875585</v>
      </c>
      <c r="M219" s="10">
        <v>1.15815465059278</v>
      </c>
      <c r="N219" s="10">
        <v>12758</v>
      </c>
      <c r="O219" s="10">
        <v>5099.8</v>
      </c>
      <c r="P219" s="10">
        <v>11015.8</v>
      </c>
      <c r="Q219" s="12">
        <v>0.462953212658182</v>
      </c>
    </row>
    <row r="220" spans="1:17">
      <c r="A220" s="10">
        <v>2012</v>
      </c>
      <c r="B220" s="10" t="s">
        <v>25</v>
      </c>
      <c r="C220" s="11">
        <v>43.651566</v>
      </c>
      <c r="D220" s="11">
        <v>0.099981</v>
      </c>
      <c r="E220" s="11">
        <v>0.010494</v>
      </c>
      <c r="F220" s="10">
        <v>12.42</v>
      </c>
      <c r="G220" s="10">
        <v>168.520721172</v>
      </c>
      <c r="H220" s="10">
        <v>2399</v>
      </c>
      <c r="I220" s="10">
        <v>2142</v>
      </c>
      <c r="J220" s="12">
        <v>0.892872030012505</v>
      </c>
      <c r="K220" s="10">
        <v>89613</v>
      </c>
      <c r="L220" s="10">
        <v>0.790969140376239</v>
      </c>
      <c r="M220" s="10">
        <v>0.533287023130069</v>
      </c>
      <c r="N220" s="10">
        <v>11362</v>
      </c>
      <c r="O220" s="10">
        <v>8174.1</v>
      </c>
      <c r="P220" s="10">
        <v>21305.6</v>
      </c>
      <c r="Q220" s="12">
        <v>0.383659695103635</v>
      </c>
    </row>
    <row r="221" spans="1:17">
      <c r="A221" s="10">
        <v>2012</v>
      </c>
      <c r="B221" s="10" t="s">
        <v>26</v>
      </c>
      <c r="C221" s="11">
        <v>723.597867</v>
      </c>
      <c r="D221" s="11">
        <v>18.147249</v>
      </c>
      <c r="E221" s="11">
        <v>0.213003</v>
      </c>
      <c r="F221" s="10">
        <v>24.7</v>
      </c>
      <c r="G221" s="10">
        <v>619.988585013333</v>
      </c>
      <c r="H221" s="10">
        <v>8120</v>
      </c>
      <c r="I221" s="10">
        <v>5116</v>
      </c>
      <c r="J221" s="12">
        <v>0.630049261083744</v>
      </c>
      <c r="K221" s="10">
        <v>66533</v>
      </c>
      <c r="L221" s="10">
        <v>1.15450027841349</v>
      </c>
      <c r="M221" s="10">
        <v>0.537224939899706</v>
      </c>
      <c r="N221" s="10">
        <v>28850</v>
      </c>
      <c r="O221" s="10">
        <v>27150.8</v>
      </c>
      <c r="P221" s="10">
        <v>53701.9</v>
      </c>
      <c r="Q221" s="12">
        <v>0.505583601325093</v>
      </c>
    </row>
    <row r="222" spans="1:17">
      <c r="A222" s="10">
        <v>2012</v>
      </c>
      <c r="B222" s="10" t="s">
        <v>27</v>
      </c>
      <c r="C222" s="11">
        <v>237.236778</v>
      </c>
      <c r="D222" s="11">
        <v>689.593617</v>
      </c>
      <c r="E222" s="11">
        <v>0.17154</v>
      </c>
      <c r="F222" s="10">
        <v>12.27</v>
      </c>
      <c r="G222" s="10">
        <v>383.593455378</v>
      </c>
      <c r="H222" s="10">
        <v>5685</v>
      </c>
      <c r="I222" s="10">
        <v>3576</v>
      </c>
      <c r="J222" s="12">
        <v>0.629023746701847</v>
      </c>
      <c r="K222" s="10">
        <v>61097</v>
      </c>
      <c r="L222" s="10">
        <v>1.1156680609207</v>
      </c>
      <c r="M222" s="10">
        <v>0.525734096514496</v>
      </c>
      <c r="N222" s="10">
        <v>18076</v>
      </c>
      <c r="O222" s="10">
        <v>17040.5</v>
      </c>
      <c r="P222" s="10">
        <v>34382.4</v>
      </c>
      <c r="Q222" s="12">
        <v>0.495616943552515</v>
      </c>
    </row>
    <row r="223" spans="1:17">
      <c r="A223" s="10">
        <v>2012</v>
      </c>
      <c r="B223" s="10" t="s">
        <v>28</v>
      </c>
      <c r="C223" s="11">
        <v>842.724486</v>
      </c>
      <c r="D223" s="11">
        <v>378.256608</v>
      </c>
      <c r="E223" s="11">
        <v>0.836127</v>
      </c>
      <c r="F223" s="10">
        <v>7.96</v>
      </c>
      <c r="G223" s="10">
        <v>355.906996733333</v>
      </c>
      <c r="H223" s="10">
        <v>5978</v>
      </c>
      <c r="I223" s="10">
        <v>2768</v>
      </c>
      <c r="J223" s="12">
        <v>0.463031114084978</v>
      </c>
      <c r="K223" s="10">
        <v>30697</v>
      </c>
      <c r="L223" s="10">
        <v>1.94042535170313</v>
      </c>
      <c r="M223" s="10">
        <v>0.619244671976971</v>
      </c>
      <c r="N223" s="10">
        <v>11358</v>
      </c>
      <c r="O223" s="10">
        <v>9247.9</v>
      </c>
      <c r="P223" s="10">
        <v>18341.7</v>
      </c>
      <c r="Q223" s="12">
        <v>0.50420081017572</v>
      </c>
    </row>
    <row r="224" spans="1:17">
      <c r="A224" s="10">
        <v>2012</v>
      </c>
      <c r="B224" s="10" t="s">
        <v>29</v>
      </c>
      <c r="C224" s="11">
        <v>141.333273</v>
      </c>
      <c r="D224" s="11">
        <v>1029.231153</v>
      </c>
      <c r="E224" s="11">
        <v>0.774522</v>
      </c>
      <c r="F224" s="10">
        <v>5.45</v>
      </c>
      <c r="G224" s="10">
        <v>208.529013926667</v>
      </c>
      <c r="H224" s="10">
        <v>3841</v>
      </c>
      <c r="I224" s="10">
        <v>2278</v>
      </c>
      <c r="J224" s="12">
        <v>0.593074720124967</v>
      </c>
      <c r="K224" s="10">
        <v>52959</v>
      </c>
      <c r="L224" s="10">
        <v>1.03279734693035</v>
      </c>
      <c r="M224" s="10">
        <v>0.553967915921687</v>
      </c>
      <c r="N224" s="10">
        <v>11185</v>
      </c>
      <c r="O224" s="10">
        <v>10527</v>
      </c>
      <c r="P224" s="10">
        <v>20190.7</v>
      </c>
      <c r="Q224" s="12">
        <v>0.521378654529065</v>
      </c>
    </row>
    <row r="225" spans="1:17">
      <c r="A225" s="10">
        <v>2012</v>
      </c>
      <c r="B225" s="10" t="s">
        <v>30</v>
      </c>
      <c r="C225" s="11">
        <v>464.721849</v>
      </c>
      <c r="D225" s="11">
        <v>1097.421768</v>
      </c>
      <c r="E225" s="11">
        <v>1.330677</v>
      </c>
      <c r="F225" s="10">
        <v>4.69</v>
      </c>
      <c r="G225" s="10">
        <v>146.460290933333</v>
      </c>
      <c r="H225" s="10">
        <v>4475</v>
      </c>
      <c r="I225" s="10">
        <v>2121</v>
      </c>
      <c r="J225" s="12">
        <v>0.473966480446927</v>
      </c>
      <c r="K225" s="10">
        <v>28624</v>
      </c>
      <c r="L225" s="10">
        <v>1.14353311627641</v>
      </c>
      <c r="M225" s="10">
        <v>0.564738399556517</v>
      </c>
      <c r="N225" s="10">
        <v>7233</v>
      </c>
      <c r="O225" s="10">
        <v>6893.3</v>
      </c>
      <c r="P225" s="10">
        <v>12807.7</v>
      </c>
      <c r="Q225" s="12">
        <v>0.538215292363188</v>
      </c>
    </row>
    <row r="226" spans="1:17">
      <c r="A226" s="10">
        <v>2012</v>
      </c>
      <c r="B226" s="10" t="s">
        <v>31</v>
      </c>
      <c r="C226" s="11">
        <v>1108.901934</v>
      </c>
      <c r="D226" s="11">
        <v>68.750046</v>
      </c>
      <c r="E226" s="11">
        <v>27.886959</v>
      </c>
      <c r="F226" s="10">
        <v>17.63</v>
      </c>
      <c r="G226" s="10">
        <v>1007.56041993745</v>
      </c>
      <c r="H226" s="10">
        <v>9708</v>
      </c>
      <c r="I226" s="10">
        <v>5051</v>
      </c>
      <c r="J226" s="12">
        <v>0.52029254223321</v>
      </c>
      <c r="K226" s="10">
        <v>44348</v>
      </c>
      <c r="L226" s="10">
        <v>2.34549289628876</v>
      </c>
      <c r="M226" s="10">
        <v>0.905527116462161</v>
      </c>
      <c r="N226" s="10">
        <v>38899</v>
      </c>
      <c r="O226" s="10">
        <v>21275.9</v>
      </c>
      <c r="P226" s="10">
        <v>42957.3</v>
      </c>
      <c r="Q226" s="12">
        <v>0.495280196846636</v>
      </c>
    </row>
    <row r="227" spans="1:17">
      <c r="A227" s="10">
        <v>2012</v>
      </c>
      <c r="B227" s="10" t="s">
        <v>32</v>
      </c>
      <c r="C227" s="11">
        <v>1119.252753</v>
      </c>
      <c r="D227" s="11">
        <v>285.798096</v>
      </c>
      <c r="E227" s="11">
        <v>27.610623</v>
      </c>
      <c r="F227" s="10">
        <v>7.7</v>
      </c>
      <c r="G227" s="10">
        <v>545.86928474</v>
      </c>
      <c r="H227" s="10">
        <v>9532</v>
      </c>
      <c r="I227" s="10">
        <v>4002</v>
      </c>
      <c r="J227" s="12">
        <v>0.419848929920269</v>
      </c>
      <c r="K227" s="10">
        <v>30497</v>
      </c>
      <c r="L227" s="10">
        <v>1.88478409475898</v>
      </c>
      <c r="M227" s="10">
        <v>0.816486487419679</v>
      </c>
      <c r="N227" s="10">
        <v>23647</v>
      </c>
      <c r="O227" s="10">
        <v>15042.6</v>
      </c>
      <c r="P227" s="10">
        <v>28961.9</v>
      </c>
      <c r="Q227" s="12">
        <v>0.519392719400316</v>
      </c>
    </row>
    <row r="228" spans="1:17">
      <c r="A228" s="10">
        <v>2012</v>
      </c>
      <c r="B228" s="10" t="s">
        <v>33</v>
      </c>
      <c r="C228" s="11">
        <v>826.131456</v>
      </c>
      <c r="D228" s="11">
        <v>900.809298</v>
      </c>
      <c r="E228" s="11">
        <v>4.104009</v>
      </c>
      <c r="F228" s="10">
        <v>6.88</v>
      </c>
      <c r="G228" s="10">
        <v>311.387899004</v>
      </c>
      <c r="H228" s="10">
        <v>5781</v>
      </c>
      <c r="I228" s="10">
        <v>3077</v>
      </c>
      <c r="J228" s="12">
        <v>0.532260854523439</v>
      </c>
      <c r="K228" s="10">
        <v>39149</v>
      </c>
      <c r="L228" s="10">
        <v>1.37837757240305</v>
      </c>
      <c r="M228" s="10">
        <v>0.782394681044137</v>
      </c>
      <c r="N228" s="10">
        <v>17675</v>
      </c>
      <c r="O228" s="10">
        <v>11152.6</v>
      </c>
      <c r="P228" s="10">
        <v>22590.9</v>
      </c>
      <c r="Q228" s="12">
        <v>0.493676657415154</v>
      </c>
    </row>
    <row r="229" spans="1:17">
      <c r="A229" s="10">
        <v>2012</v>
      </c>
      <c r="B229" s="10" t="s">
        <v>34</v>
      </c>
      <c r="C229" s="11">
        <v>720.282267</v>
      </c>
      <c r="D229" s="11">
        <v>1312.596774</v>
      </c>
      <c r="E229" s="11">
        <v>0.680463</v>
      </c>
      <c r="F229" s="10">
        <v>5.18</v>
      </c>
      <c r="G229" s="10">
        <v>275.30121666</v>
      </c>
      <c r="H229" s="10">
        <v>6590</v>
      </c>
      <c r="I229" s="10">
        <v>3046</v>
      </c>
      <c r="J229" s="12">
        <v>0.462215477996965</v>
      </c>
      <c r="K229" s="10">
        <v>32203</v>
      </c>
      <c r="L229" s="10">
        <v>1.29814976357086</v>
      </c>
      <c r="M229" s="10">
        <v>0.789543174016372</v>
      </c>
      <c r="N229" s="10">
        <v>16744</v>
      </c>
      <c r="O229" s="10">
        <v>9926.7</v>
      </c>
      <c r="P229" s="10">
        <v>21207.2</v>
      </c>
      <c r="Q229" s="12">
        <v>0.468081594930024</v>
      </c>
    </row>
    <row r="230" spans="1:17">
      <c r="A230" s="10">
        <v>2012</v>
      </c>
      <c r="B230" s="10" t="s">
        <v>35</v>
      </c>
      <c r="C230" s="11">
        <v>458.964729</v>
      </c>
      <c r="D230" s="11">
        <v>1155.396285</v>
      </c>
      <c r="E230" s="11">
        <v>2.012472</v>
      </c>
      <c r="F230" s="10">
        <v>40.17</v>
      </c>
      <c r="G230" s="10">
        <v>486.695993366667</v>
      </c>
      <c r="H230" s="10">
        <v>11041</v>
      </c>
      <c r="I230" s="10">
        <v>7414</v>
      </c>
      <c r="J230" s="12">
        <v>0.671497146997555</v>
      </c>
      <c r="K230" s="10">
        <v>52308</v>
      </c>
      <c r="L230" s="10">
        <v>0.853737290518065</v>
      </c>
      <c r="M230" s="10">
        <v>0.511229184829418</v>
      </c>
      <c r="N230" s="10">
        <v>29144</v>
      </c>
      <c r="O230" s="10">
        <v>27346.1</v>
      </c>
      <c r="P230" s="10">
        <v>57007.7</v>
      </c>
      <c r="Q230" s="12">
        <v>0.479691339941797</v>
      </c>
    </row>
    <row r="231" spans="1:17">
      <c r="A231" s="10">
        <v>2012</v>
      </c>
      <c r="B231" s="10" t="s">
        <v>36</v>
      </c>
      <c r="C231" s="11">
        <v>584.677674</v>
      </c>
      <c r="D231" s="11">
        <v>1674.541332</v>
      </c>
      <c r="E231" s="11">
        <v>1.824669</v>
      </c>
      <c r="F231" s="10">
        <v>6.7</v>
      </c>
      <c r="G231" s="10">
        <v>192.853126366667</v>
      </c>
      <c r="H231" s="10">
        <v>4694</v>
      </c>
      <c r="I231" s="10">
        <v>2041</v>
      </c>
      <c r="J231" s="12">
        <v>0.434810396250533</v>
      </c>
      <c r="K231" s="10">
        <v>24181</v>
      </c>
      <c r="L231" s="10">
        <v>1.70612129203676</v>
      </c>
      <c r="M231" s="10">
        <v>0.809918963869918</v>
      </c>
      <c r="N231" s="10">
        <v>9155</v>
      </c>
      <c r="O231" s="10">
        <v>4503.1</v>
      </c>
      <c r="P231" s="10">
        <v>11303.6</v>
      </c>
      <c r="Q231" s="12">
        <v>0.398377508050533</v>
      </c>
    </row>
    <row r="232" spans="1:17">
      <c r="A232" s="10">
        <v>2012</v>
      </c>
      <c r="B232" s="10" t="s">
        <v>37</v>
      </c>
      <c r="C232" s="11">
        <v>85.322988</v>
      </c>
      <c r="D232" s="11">
        <v>241.624917</v>
      </c>
      <c r="E232" s="11">
        <v>0.429345</v>
      </c>
      <c r="F232" s="10">
        <v>5.07</v>
      </c>
      <c r="G232" s="10">
        <v>54.2393039666667</v>
      </c>
      <c r="H232" s="10">
        <v>910</v>
      </c>
      <c r="I232" s="10">
        <v>464</v>
      </c>
      <c r="J232" s="12">
        <v>0.50989010989011</v>
      </c>
      <c r="K232" s="10">
        <v>30993</v>
      </c>
      <c r="L232" s="10">
        <v>1.94447924165292</v>
      </c>
      <c r="M232" s="10">
        <v>0.605148060514806</v>
      </c>
      <c r="N232" s="10">
        <v>1688</v>
      </c>
      <c r="O232" s="10">
        <v>747.2</v>
      </c>
      <c r="P232" s="10">
        <v>2789.4</v>
      </c>
      <c r="Q232" s="12">
        <v>0.267871226787123</v>
      </c>
    </row>
    <row r="233" spans="1:17">
      <c r="A233" s="10">
        <v>2012</v>
      </c>
      <c r="B233" s="10" t="s">
        <v>38</v>
      </c>
      <c r="C233" s="11">
        <v>356.6151</v>
      </c>
      <c r="D233" s="11">
        <v>437.125023</v>
      </c>
      <c r="E233" s="11">
        <v>0.948078</v>
      </c>
      <c r="F233" s="10">
        <v>4.72</v>
      </c>
      <c r="G233" s="10">
        <v>149.358405143427</v>
      </c>
      <c r="H233" s="10">
        <v>2975</v>
      </c>
      <c r="I233" s="10">
        <v>1685</v>
      </c>
      <c r="J233" s="12">
        <v>0.566386554621849</v>
      </c>
      <c r="K233" s="10">
        <v>39180</v>
      </c>
      <c r="L233" s="10">
        <v>1.28808324976652</v>
      </c>
      <c r="M233" s="10">
        <v>0.80014488504062</v>
      </c>
      <c r="N233" s="10">
        <v>9278</v>
      </c>
      <c r="O233" s="10">
        <v>5308.1</v>
      </c>
      <c r="P233" s="10">
        <v>11595.4</v>
      </c>
      <c r="Q233" s="12">
        <v>0.457776359590872</v>
      </c>
    </row>
    <row r="234" spans="1:17">
      <c r="A234" s="10">
        <v>2012</v>
      </c>
      <c r="B234" s="10" t="s">
        <v>39</v>
      </c>
      <c r="C234" s="11">
        <v>1169.482104</v>
      </c>
      <c r="D234" s="11">
        <v>1905.858918</v>
      </c>
      <c r="E234" s="11">
        <v>1626.629904</v>
      </c>
      <c r="F234" s="10">
        <v>8.32</v>
      </c>
      <c r="G234" s="10">
        <v>289.712339846667</v>
      </c>
      <c r="H234" s="10">
        <v>8085</v>
      </c>
      <c r="I234" s="10">
        <v>3505</v>
      </c>
      <c r="J234" s="12">
        <v>0.433518862090291</v>
      </c>
      <c r="K234" s="10">
        <v>29627</v>
      </c>
      <c r="L234" s="10">
        <v>1.211050479244</v>
      </c>
      <c r="M234" s="10">
        <v>0.860072567969769</v>
      </c>
      <c r="N234" s="10">
        <v>20575</v>
      </c>
      <c r="O234" s="10">
        <v>11231.1</v>
      </c>
      <c r="P234" s="10">
        <v>23922.4</v>
      </c>
      <c r="Q234" s="12">
        <v>0.469480486907668</v>
      </c>
    </row>
    <row r="235" spans="1:17">
      <c r="A235" s="10">
        <v>2012</v>
      </c>
      <c r="B235" s="10" t="s">
        <v>40</v>
      </c>
      <c r="C235" s="11">
        <v>607.642434</v>
      </c>
      <c r="D235" s="11">
        <v>1044.259722</v>
      </c>
      <c r="E235" s="11">
        <v>26.745732</v>
      </c>
      <c r="F235" s="10">
        <v>3.29</v>
      </c>
      <c r="G235" s="10">
        <v>287.21315806</v>
      </c>
      <c r="H235" s="10">
        <v>3587</v>
      </c>
      <c r="I235" s="10">
        <v>1302</v>
      </c>
      <c r="J235" s="12">
        <v>0.362977418455534</v>
      </c>
      <c r="K235" s="10">
        <v>18947</v>
      </c>
      <c r="L235" s="10">
        <v>4.25993233751594</v>
      </c>
      <c r="M235" s="10">
        <v>1.46510041232832</v>
      </c>
      <c r="N235" s="10">
        <v>9878</v>
      </c>
      <c r="O235" s="10">
        <v>2716.8</v>
      </c>
      <c r="P235" s="10">
        <v>6742.2</v>
      </c>
      <c r="Q235" s="12">
        <v>0.402954525229154</v>
      </c>
    </row>
    <row r="236" spans="1:17">
      <c r="A236" s="10">
        <v>2012</v>
      </c>
      <c r="B236" s="10" t="s">
        <v>41</v>
      </c>
      <c r="C236" s="11">
        <v>804.827952</v>
      </c>
      <c r="D236" s="11">
        <v>2625.732576</v>
      </c>
      <c r="E236" s="11">
        <v>263.616741</v>
      </c>
      <c r="F236" s="10">
        <v>3.53</v>
      </c>
      <c r="G236" s="10">
        <v>195.468262031444</v>
      </c>
      <c r="H236" s="10">
        <v>4631</v>
      </c>
      <c r="I236" s="10">
        <v>1782</v>
      </c>
      <c r="J236" s="12">
        <v>0.38479809976247</v>
      </c>
      <c r="K236" s="10">
        <v>23992</v>
      </c>
      <c r="L236" s="10">
        <v>1.76138791096512</v>
      </c>
      <c r="M236" s="10">
        <v>0.940220231765999</v>
      </c>
      <c r="N236" s="10">
        <v>10434</v>
      </c>
      <c r="O236" s="10">
        <v>4458.4</v>
      </c>
      <c r="P236" s="10">
        <v>11097.4</v>
      </c>
      <c r="Q236" s="12">
        <v>0.401751761673906</v>
      </c>
    </row>
    <row r="237" spans="1:17">
      <c r="A237" s="10">
        <v>2012</v>
      </c>
      <c r="B237" s="10" t="s">
        <v>42</v>
      </c>
      <c r="C237" s="11">
        <v>542.365695</v>
      </c>
      <c r="D237" s="11">
        <v>896.405319</v>
      </c>
      <c r="E237" s="11">
        <v>559.279989</v>
      </c>
      <c r="F237" s="10">
        <v>3.1</v>
      </c>
      <c r="G237" s="10">
        <v>405.13130814129</v>
      </c>
      <c r="H237" s="10">
        <v>3787</v>
      </c>
      <c r="I237" s="10">
        <v>1883</v>
      </c>
      <c r="J237" s="12">
        <v>0.497227356746765</v>
      </c>
      <c r="K237" s="10">
        <v>37453</v>
      </c>
      <c r="L237" s="10">
        <v>2.86465740002609</v>
      </c>
      <c r="M237" s="10">
        <v>0.751357619640231</v>
      </c>
      <c r="N237" s="10">
        <v>10626</v>
      </c>
      <c r="O237" s="10">
        <v>7612.3</v>
      </c>
      <c r="P237" s="10">
        <v>14142.4</v>
      </c>
      <c r="Q237" s="12">
        <v>0.538260832673379</v>
      </c>
    </row>
    <row r="238" spans="1:17">
      <c r="A238" s="10">
        <v>2012</v>
      </c>
      <c r="B238" s="10" t="s">
        <v>43</v>
      </c>
      <c r="C238" s="11">
        <v>549.169551</v>
      </c>
      <c r="D238" s="11">
        <v>366.265746</v>
      </c>
      <c r="E238" s="11">
        <v>1555.78014</v>
      </c>
      <c r="F238" s="10">
        <v>1.85</v>
      </c>
      <c r="G238" s="10">
        <v>173.753779086667</v>
      </c>
      <c r="H238" s="10">
        <v>2550</v>
      </c>
      <c r="I238" s="10">
        <v>989</v>
      </c>
      <c r="J238" s="12">
        <v>0.387843137254902</v>
      </c>
      <c r="K238" s="10">
        <v>21141</v>
      </c>
      <c r="L238" s="10">
        <v>3.22177929366536</v>
      </c>
      <c r="M238" s="10">
        <v>1.29925274888283</v>
      </c>
      <c r="N238" s="10">
        <v>7007</v>
      </c>
      <c r="O238" s="10">
        <v>2493.3</v>
      </c>
      <c r="P238" s="10">
        <v>5393.1</v>
      </c>
      <c r="Q238" s="12">
        <v>0.462312955443066</v>
      </c>
    </row>
    <row r="239" spans="1:17">
      <c r="A239" s="10">
        <v>2012</v>
      </c>
      <c r="B239" s="10" t="s">
        <v>44</v>
      </c>
      <c r="C239" s="11">
        <v>61.780995</v>
      </c>
      <c r="D239" s="11">
        <v>60.588747</v>
      </c>
      <c r="E239" s="11">
        <v>4605.470586</v>
      </c>
      <c r="F239" s="10">
        <v>0.4</v>
      </c>
      <c r="G239" s="10">
        <v>58.5596973026667</v>
      </c>
      <c r="H239" s="10">
        <v>571</v>
      </c>
      <c r="I239" s="10">
        <v>273</v>
      </c>
      <c r="J239" s="12">
        <v>0.478108581436077</v>
      </c>
      <c r="K239" s="10">
        <v>26839</v>
      </c>
      <c r="L239" s="10">
        <v>3.83118726219605</v>
      </c>
      <c r="M239" s="10">
        <v>2.30552829571475</v>
      </c>
      <c r="N239" s="10">
        <v>3524</v>
      </c>
      <c r="O239" s="10">
        <v>620.2</v>
      </c>
      <c r="P239" s="10">
        <v>1528.5</v>
      </c>
      <c r="Q239" s="12">
        <v>0.405757278377494</v>
      </c>
    </row>
    <row r="240" spans="1:17">
      <c r="A240" s="10">
        <v>2012</v>
      </c>
      <c r="B240" s="10" t="s">
        <v>45</v>
      </c>
      <c r="C240" s="11">
        <v>131.420466</v>
      </c>
      <c r="D240" s="11">
        <v>7.063002</v>
      </c>
      <c r="E240" s="11">
        <v>351.231381</v>
      </c>
      <c r="F240" s="10">
        <v>1.98</v>
      </c>
      <c r="G240" s="10">
        <v>188.569617441279</v>
      </c>
      <c r="H240" s="10">
        <v>659</v>
      </c>
      <c r="I240" s="10">
        <v>337</v>
      </c>
      <c r="J240" s="12">
        <v>0.511380880121396</v>
      </c>
      <c r="K240" s="10">
        <v>32609</v>
      </c>
      <c r="L240" s="10">
        <v>8.84887927927166</v>
      </c>
      <c r="M240" s="10">
        <v>2.1407789770061</v>
      </c>
      <c r="N240" s="10">
        <v>4562</v>
      </c>
      <c r="O240" s="10">
        <v>992.5</v>
      </c>
      <c r="P240" s="10">
        <v>2131</v>
      </c>
      <c r="Q240" s="12">
        <v>0.465743782261849</v>
      </c>
    </row>
    <row r="241" spans="1:17">
      <c r="A241" s="10">
        <v>2012</v>
      </c>
      <c r="B241" s="10" t="s">
        <v>46</v>
      </c>
      <c r="C241" s="11">
        <v>815.602986</v>
      </c>
      <c r="D241" s="11">
        <v>172.885365</v>
      </c>
      <c r="E241" s="11">
        <v>3819.456081</v>
      </c>
      <c r="F241" s="10">
        <v>4.95</v>
      </c>
      <c r="G241" s="10">
        <v>333.440799646667</v>
      </c>
      <c r="H241" s="10">
        <v>2253</v>
      </c>
      <c r="I241" s="10">
        <v>996</v>
      </c>
      <c r="J241" s="12">
        <v>0.442077230359521</v>
      </c>
      <c r="K241" s="10">
        <v>33103</v>
      </c>
      <c r="L241" s="10">
        <v>4.49878301690098</v>
      </c>
      <c r="M241" s="10">
        <v>1.59623843061065</v>
      </c>
      <c r="N241" s="10">
        <v>11831</v>
      </c>
      <c r="O241" s="10">
        <v>3325.9</v>
      </c>
      <c r="P241" s="10">
        <v>7411.8</v>
      </c>
      <c r="Q241" s="12">
        <v>0.448730402871097</v>
      </c>
    </row>
    <row r="242" spans="1:17">
      <c r="A242" s="10">
        <v>2013</v>
      </c>
      <c r="B242" s="10" t="s">
        <v>17</v>
      </c>
      <c r="C242" s="11">
        <v>44.534826</v>
      </c>
      <c r="D242" s="11">
        <v>79.307127</v>
      </c>
      <c r="E242" s="11">
        <v>4.448133</v>
      </c>
      <c r="F242" s="10">
        <v>6.84</v>
      </c>
      <c r="G242" s="10">
        <v>86.69487504</v>
      </c>
      <c r="H242" s="10">
        <v>2125</v>
      </c>
      <c r="I242" s="10">
        <v>1836</v>
      </c>
      <c r="J242" s="12">
        <v>0.864</v>
      </c>
      <c r="K242" s="10">
        <v>100569</v>
      </c>
      <c r="L242" s="10">
        <v>0.410203528999839</v>
      </c>
      <c r="M242" s="10">
        <v>0.31815127799911</v>
      </c>
      <c r="N242" s="10">
        <v>6724</v>
      </c>
      <c r="O242" s="10">
        <v>4168.3</v>
      </c>
      <c r="P242" s="10">
        <v>21134.6</v>
      </c>
      <c r="Q242" s="12">
        <v>0.197226349209353</v>
      </c>
    </row>
    <row r="243" spans="1:17">
      <c r="A243" s="10">
        <v>2013</v>
      </c>
      <c r="B243" s="10" t="s">
        <v>18</v>
      </c>
      <c r="C243" s="11">
        <v>64.15965</v>
      </c>
      <c r="D243" s="11">
        <v>3.597012</v>
      </c>
      <c r="E243" s="11">
        <v>0.25605</v>
      </c>
      <c r="F243" s="10">
        <v>2.32</v>
      </c>
      <c r="G243" s="10">
        <v>151.0324593</v>
      </c>
      <c r="H243" s="10">
        <v>1410</v>
      </c>
      <c r="I243" s="10">
        <v>1160</v>
      </c>
      <c r="J243" s="12">
        <v>0.822695035460993</v>
      </c>
      <c r="K243" s="10">
        <v>71345</v>
      </c>
      <c r="L243" s="10">
        <v>1.51861623765761</v>
      </c>
      <c r="M243" s="10">
        <v>0.792527198503831</v>
      </c>
      <c r="N243" s="10">
        <v>7882</v>
      </c>
      <c r="O243" s="10">
        <v>4407.1</v>
      </c>
      <c r="P243" s="10">
        <v>9945.4</v>
      </c>
      <c r="Q243" s="12">
        <v>0.443129486999015</v>
      </c>
    </row>
    <row r="244" spans="1:17">
      <c r="A244" s="10">
        <v>2013</v>
      </c>
      <c r="B244" s="10" t="s">
        <v>19</v>
      </c>
      <c r="C244" s="11">
        <v>847.825299</v>
      </c>
      <c r="D244" s="11">
        <v>434.479113</v>
      </c>
      <c r="E244" s="11">
        <v>349.506027</v>
      </c>
      <c r="F244" s="10">
        <v>7.6</v>
      </c>
      <c r="G244" s="10">
        <v>657.719965013333</v>
      </c>
      <c r="H244" s="10">
        <v>7288</v>
      </c>
      <c r="I244" s="10">
        <v>3500</v>
      </c>
      <c r="J244" s="12">
        <v>0.480241492864984</v>
      </c>
      <c r="K244" s="10">
        <v>33346</v>
      </c>
      <c r="L244" s="10">
        <v>2.71117398890886</v>
      </c>
      <c r="M244" s="10">
        <v>1.22277366485845</v>
      </c>
      <c r="N244" s="10">
        <v>29664</v>
      </c>
      <c r="O244" s="10">
        <v>11178.4</v>
      </c>
      <c r="P244" s="10">
        <v>24259.6</v>
      </c>
      <c r="Q244" s="12">
        <v>0.460782535573546</v>
      </c>
    </row>
    <row r="245" spans="1:17">
      <c r="A245" s="10">
        <v>2013</v>
      </c>
      <c r="B245" s="10" t="s">
        <v>20</v>
      </c>
      <c r="C245" s="11">
        <v>557.585451</v>
      </c>
      <c r="D245" s="11">
        <v>380.607732</v>
      </c>
      <c r="E245" s="11">
        <v>541.218087</v>
      </c>
      <c r="F245" s="10">
        <v>3.63</v>
      </c>
      <c r="G245" s="10">
        <v>1499.0626243</v>
      </c>
      <c r="H245" s="10">
        <v>3535</v>
      </c>
      <c r="I245" s="10">
        <v>1869</v>
      </c>
      <c r="J245" s="12">
        <v>0.528712871287129</v>
      </c>
      <c r="K245" s="10">
        <v>33848</v>
      </c>
      <c r="L245" s="10">
        <v>12.5055277654498</v>
      </c>
      <c r="M245" s="10">
        <v>1.64850840896957</v>
      </c>
      <c r="N245" s="10">
        <v>19761</v>
      </c>
      <c r="O245" s="10">
        <v>6684.3</v>
      </c>
      <c r="P245" s="10">
        <v>11987.2</v>
      </c>
      <c r="Q245" s="12">
        <v>0.55761979444741</v>
      </c>
    </row>
    <row r="246" spans="1:17">
      <c r="A246" s="10">
        <v>2013</v>
      </c>
      <c r="B246" s="10" t="s">
        <v>21</v>
      </c>
      <c r="C246" s="11">
        <v>1348.75998</v>
      </c>
      <c r="D246" s="11">
        <v>1782.65493</v>
      </c>
      <c r="E246" s="11">
        <v>5514.442263</v>
      </c>
      <c r="F246" s="10">
        <v>4.93</v>
      </c>
      <c r="G246" s="10">
        <v>783.743085486666</v>
      </c>
      <c r="H246" s="10">
        <v>2455</v>
      </c>
      <c r="I246" s="10">
        <v>1469</v>
      </c>
      <c r="J246" s="12">
        <v>0.59837067209776</v>
      </c>
      <c r="K246" s="10">
        <v>46320</v>
      </c>
      <c r="L246" s="10">
        <v>6.87952569683883</v>
      </c>
      <c r="M246" s="10">
        <v>1.55199957866648</v>
      </c>
      <c r="N246" s="10">
        <v>17681</v>
      </c>
      <c r="O246" s="10">
        <v>4870.1</v>
      </c>
      <c r="P246" s="10">
        <v>11392.4</v>
      </c>
      <c r="Q246" s="12">
        <v>0.427486745549665</v>
      </c>
    </row>
    <row r="247" spans="1:17">
      <c r="A247" s="10">
        <v>2013</v>
      </c>
      <c r="B247" s="10" t="s">
        <v>22</v>
      </c>
      <c r="C247" s="11">
        <v>713.624319</v>
      </c>
      <c r="D247" s="11">
        <v>512.693874</v>
      </c>
      <c r="E247" s="11">
        <v>68.1687</v>
      </c>
      <c r="F247" s="10">
        <v>12.05</v>
      </c>
      <c r="G247" s="10">
        <v>529.863442586667</v>
      </c>
      <c r="H247" s="10">
        <v>4365</v>
      </c>
      <c r="I247" s="10">
        <v>2901</v>
      </c>
      <c r="J247" s="12">
        <v>0.664604810996564</v>
      </c>
      <c r="K247" s="10">
        <v>43956</v>
      </c>
      <c r="L247" s="10">
        <v>2.75844114461427</v>
      </c>
      <c r="M247" s="10">
        <v>1.1307838074216</v>
      </c>
      <c r="N247" s="10">
        <v>21721</v>
      </c>
      <c r="O247" s="10">
        <v>9204.2</v>
      </c>
      <c r="P247" s="10">
        <v>19208.8</v>
      </c>
      <c r="Q247" s="12">
        <v>0.479165799008788</v>
      </c>
    </row>
    <row r="248" spans="1:17">
      <c r="A248" s="10">
        <v>2013</v>
      </c>
      <c r="B248" s="10" t="s">
        <v>23</v>
      </c>
      <c r="C248" s="11">
        <v>892.250163</v>
      </c>
      <c r="D248" s="11">
        <v>822.062097</v>
      </c>
      <c r="E248" s="11">
        <v>61.256088</v>
      </c>
      <c r="F248" s="10">
        <v>3.84</v>
      </c>
      <c r="G248" s="10">
        <v>237.288552633333</v>
      </c>
      <c r="H248" s="10">
        <v>2668</v>
      </c>
      <c r="I248" s="10">
        <v>1487</v>
      </c>
      <c r="J248" s="12">
        <v>0.557346326836582</v>
      </c>
      <c r="K248" s="10">
        <v>35139</v>
      </c>
      <c r="L248" s="10">
        <v>2.5168760024325</v>
      </c>
      <c r="M248" s="10">
        <v>0.916959238006343</v>
      </c>
      <c r="N248" s="10">
        <v>8645</v>
      </c>
      <c r="O248" s="10">
        <v>3572.1</v>
      </c>
      <c r="P248" s="10">
        <v>9427.9</v>
      </c>
      <c r="Q248" s="12">
        <v>0.378886072189989</v>
      </c>
    </row>
    <row r="249" spans="1:17">
      <c r="A249" s="10">
        <v>2013</v>
      </c>
      <c r="B249" s="10" t="s">
        <v>24</v>
      </c>
      <c r="C249" s="11">
        <v>2018.01492</v>
      </c>
      <c r="D249" s="11">
        <v>2238.377463</v>
      </c>
      <c r="E249" s="11">
        <v>70.765092</v>
      </c>
      <c r="F249" s="10">
        <v>7.51</v>
      </c>
      <c r="G249" s="10">
        <v>363.48212584</v>
      </c>
      <c r="H249" s="10">
        <v>3666</v>
      </c>
      <c r="I249" s="10">
        <v>2128</v>
      </c>
      <c r="J249" s="12">
        <v>0.580469176213857</v>
      </c>
      <c r="K249" s="10">
        <v>32068</v>
      </c>
      <c r="L249" s="10">
        <v>3.06759269345351</v>
      </c>
      <c r="M249" s="10">
        <v>1.00032913892194</v>
      </c>
      <c r="N249" s="10">
        <v>11853</v>
      </c>
      <c r="O249" s="10">
        <v>5202.7</v>
      </c>
      <c r="P249" s="10">
        <v>11849.1</v>
      </c>
      <c r="Q249" s="12">
        <v>0.439079761332084</v>
      </c>
    </row>
    <row r="250" spans="1:17">
      <c r="A250" s="10">
        <v>2013</v>
      </c>
      <c r="B250" s="10" t="s">
        <v>25</v>
      </c>
      <c r="C250" s="11">
        <v>43.320564</v>
      </c>
      <c r="D250" s="11">
        <v>0.116325</v>
      </c>
      <c r="E250" s="11">
        <v>0.005697</v>
      </c>
      <c r="F250" s="10">
        <v>12.43</v>
      </c>
      <c r="G250" s="10">
        <v>181.78292098</v>
      </c>
      <c r="H250" s="10">
        <v>2448</v>
      </c>
      <c r="I250" s="10">
        <v>2193</v>
      </c>
      <c r="J250" s="12">
        <v>0.895833333333333</v>
      </c>
      <c r="K250" s="10">
        <v>95746</v>
      </c>
      <c r="L250" s="10">
        <v>0.783408625975582</v>
      </c>
      <c r="M250" s="10">
        <v>0.488965312164661</v>
      </c>
      <c r="N250" s="10">
        <v>11346</v>
      </c>
      <c r="O250" s="10">
        <v>8286.5</v>
      </c>
      <c r="P250" s="10">
        <v>23204.1</v>
      </c>
      <c r="Q250" s="12">
        <v>0.357113613542434</v>
      </c>
    </row>
    <row r="251" spans="1:17">
      <c r="A251" s="10">
        <v>2013</v>
      </c>
      <c r="B251" s="10" t="s">
        <v>26</v>
      </c>
      <c r="C251" s="11">
        <v>714.867966</v>
      </c>
      <c r="D251" s="11">
        <v>17.432091</v>
      </c>
      <c r="E251" s="11">
        <v>0.15489</v>
      </c>
      <c r="F251" s="10">
        <v>25.63</v>
      </c>
      <c r="G251" s="10">
        <v>638.440952</v>
      </c>
      <c r="H251" s="10">
        <v>8192</v>
      </c>
      <c r="I251" s="10">
        <v>5275</v>
      </c>
      <c r="J251" s="12">
        <v>0.6439208984375</v>
      </c>
      <c r="K251" s="10">
        <v>72768</v>
      </c>
      <c r="L251" s="10">
        <v>1.07573278247126</v>
      </c>
      <c r="M251" s="10">
        <v>0.492085850910034</v>
      </c>
      <c r="N251" s="10">
        <v>29205</v>
      </c>
      <c r="O251" s="10">
        <v>29149.4</v>
      </c>
      <c r="P251" s="10">
        <v>59349.4</v>
      </c>
      <c r="Q251" s="12">
        <v>0.49114902593792</v>
      </c>
    </row>
    <row r="252" spans="1:17">
      <c r="A252" s="10">
        <v>2013</v>
      </c>
      <c r="B252" s="10" t="s">
        <v>27</v>
      </c>
      <c r="C252" s="11">
        <v>240.682149</v>
      </c>
      <c r="D252" s="11">
        <v>682.356951</v>
      </c>
      <c r="E252" s="11">
        <v>0.164448</v>
      </c>
      <c r="F252" s="10">
        <v>12.79</v>
      </c>
      <c r="G252" s="10">
        <v>387.560920826667</v>
      </c>
      <c r="H252" s="10">
        <v>5784</v>
      </c>
      <c r="I252" s="10">
        <v>3698</v>
      </c>
      <c r="J252" s="12">
        <v>0.639349930843707</v>
      </c>
      <c r="K252" s="10">
        <v>65105</v>
      </c>
      <c r="L252" s="10">
        <v>1.03807438897609</v>
      </c>
      <c r="M252" s="10">
        <v>0.499268774809426</v>
      </c>
      <c r="N252" s="10">
        <v>18640</v>
      </c>
      <c r="O252" s="10">
        <v>18162.8</v>
      </c>
      <c r="P252" s="10">
        <v>37334.6</v>
      </c>
      <c r="Q252" s="12">
        <v>0.486487065617417</v>
      </c>
    </row>
    <row r="253" spans="1:17">
      <c r="A253" s="10">
        <v>2013</v>
      </c>
      <c r="B253" s="10" t="s">
        <v>28</v>
      </c>
      <c r="C253" s="11">
        <v>841.254714</v>
      </c>
      <c r="D253" s="11">
        <v>372.697245</v>
      </c>
      <c r="E253" s="11">
        <v>0.820359</v>
      </c>
      <c r="F253" s="10">
        <v>8.39</v>
      </c>
      <c r="G253" s="10">
        <v>387.180040413333</v>
      </c>
      <c r="H253" s="10">
        <v>5988</v>
      </c>
      <c r="I253" s="10">
        <v>2866</v>
      </c>
      <c r="J253" s="12">
        <v>0.478623914495658</v>
      </c>
      <c r="K253" s="10">
        <v>34404</v>
      </c>
      <c r="L253" s="10">
        <v>1.8809757112968</v>
      </c>
      <c r="M253" s="10">
        <v>0.568208317139526</v>
      </c>
      <c r="N253" s="10">
        <v>11696</v>
      </c>
      <c r="O253" s="10">
        <v>10233.4</v>
      </c>
      <c r="P253" s="10">
        <v>20584</v>
      </c>
      <c r="Q253" s="12">
        <v>0.497153128643607</v>
      </c>
    </row>
    <row r="254" spans="1:17">
      <c r="A254" s="10">
        <v>2013</v>
      </c>
      <c r="B254" s="10" t="s">
        <v>29</v>
      </c>
      <c r="C254" s="11">
        <v>148.270068</v>
      </c>
      <c r="D254" s="11">
        <v>1021.039803</v>
      </c>
      <c r="E254" s="11">
        <v>0.774009</v>
      </c>
      <c r="F254" s="10">
        <v>5.76</v>
      </c>
      <c r="G254" s="10">
        <v>203.57113088</v>
      </c>
      <c r="H254" s="10">
        <v>3885</v>
      </c>
      <c r="I254" s="10">
        <v>2362</v>
      </c>
      <c r="J254" s="12">
        <v>0.607979407979408</v>
      </c>
      <c r="K254" s="10">
        <v>58255</v>
      </c>
      <c r="L254" s="10">
        <v>0.904607803482079</v>
      </c>
      <c r="M254" s="10">
        <v>0.49724935344253</v>
      </c>
      <c r="N254" s="10">
        <v>11190</v>
      </c>
      <c r="O254" s="10">
        <v>11805.5</v>
      </c>
      <c r="P254" s="10">
        <v>22503.8</v>
      </c>
      <c r="Q254" s="12">
        <v>0.524600289728846</v>
      </c>
    </row>
    <row r="255" spans="1:17">
      <c r="A255" s="10">
        <v>2013</v>
      </c>
      <c r="B255" s="10" t="s">
        <v>30</v>
      </c>
      <c r="C255" s="11">
        <v>473.424822</v>
      </c>
      <c r="D255" s="11">
        <v>1085.333265</v>
      </c>
      <c r="E255" s="11">
        <v>1.178685</v>
      </c>
      <c r="F255" s="10">
        <v>4.92</v>
      </c>
      <c r="G255" s="10">
        <v>162.189464473333</v>
      </c>
      <c r="H255" s="10">
        <v>4476</v>
      </c>
      <c r="I255" s="10">
        <v>2195</v>
      </c>
      <c r="J255" s="12">
        <v>0.490393208221626</v>
      </c>
      <c r="K255" s="10">
        <v>31952</v>
      </c>
      <c r="L255" s="10">
        <v>1.13417619664993</v>
      </c>
      <c r="M255" s="10">
        <v>0.530272303883862</v>
      </c>
      <c r="N255" s="10">
        <v>7583</v>
      </c>
      <c r="O255" s="10">
        <v>7661.9</v>
      </c>
      <c r="P255" s="10">
        <v>14300.2</v>
      </c>
      <c r="Q255" s="12">
        <v>0.535789709234836</v>
      </c>
    </row>
    <row r="256" spans="1:17">
      <c r="A256" s="10">
        <v>2013</v>
      </c>
      <c r="B256" s="10" t="s">
        <v>31</v>
      </c>
      <c r="C256" s="11">
        <v>1097.658009</v>
      </c>
      <c r="D256" s="11">
        <v>71.100369</v>
      </c>
      <c r="E256" s="11">
        <v>28.600821</v>
      </c>
      <c r="F256" s="10">
        <v>19.36</v>
      </c>
      <c r="G256" s="10">
        <v>944.49442586</v>
      </c>
      <c r="H256" s="10">
        <v>9746</v>
      </c>
      <c r="I256" s="10">
        <v>5210</v>
      </c>
      <c r="J256" s="12">
        <v>0.534578288528627</v>
      </c>
      <c r="K256" s="10">
        <v>48673</v>
      </c>
      <c r="L256" s="10">
        <v>1.99494854894887</v>
      </c>
      <c r="M256" s="10">
        <v>0.7468269675547</v>
      </c>
      <c r="N256" s="10">
        <v>35358</v>
      </c>
      <c r="O256" s="10">
        <v>22615.9</v>
      </c>
      <c r="P256" s="10">
        <v>47344.3</v>
      </c>
      <c r="Q256" s="12">
        <v>0.477690028155448</v>
      </c>
    </row>
    <row r="257" spans="1:17">
      <c r="A257" s="10">
        <v>2013</v>
      </c>
      <c r="B257" s="10" t="s">
        <v>32</v>
      </c>
      <c r="C257" s="11">
        <v>1107.46917</v>
      </c>
      <c r="D257" s="11">
        <v>290.50398</v>
      </c>
      <c r="E257" s="11">
        <v>27.590328</v>
      </c>
      <c r="F257" s="10">
        <v>8.08</v>
      </c>
      <c r="G257" s="10">
        <v>594.416165546667</v>
      </c>
      <c r="H257" s="10">
        <v>9573</v>
      </c>
      <c r="I257" s="10">
        <v>4174</v>
      </c>
      <c r="J257" s="12">
        <v>0.436017967199415</v>
      </c>
      <c r="K257" s="10">
        <v>33114</v>
      </c>
      <c r="L257" s="10">
        <v>1.87913116429832</v>
      </c>
      <c r="M257" s="10">
        <v>0.692610448115072</v>
      </c>
      <c r="N257" s="10">
        <v>21909</v>
      </c>
      <c r="O257" s="10">
        <v>15995.4</v>
      </c>
      <c r="P257" s="10">
        <v>31632.5</v>
      </c>
      <c r="Q257" s="12">
        <v>0.505663479016834</v>
      </c>
    </row>
    <row r="258" spans="1:17">
      <c r="A258" s="10">
        <v>2013</v>
      </c>
      <c r="B258" s="10" t="s">
        <v>33</v>
      </c>
      <c r="C258" s="11">
        <v>817.319358</v>
      </c>
      <c r="D258" s="11">
        <v>906.304644</v>
      </c>
      <c r="E258" s="11">
        <v>3.611943</v>
      </c>
      <c r="F258" s="10">
        <v>7.16</v>
      </c>
      <c r="G258" s="10">
        <v>252.921436693333</v>
      </c>
      <c r="H258" s="10">
        <v>5798</v>
      </c>
      <c r="I258" s="10">
        <v>3160</v>
      </c>
      <c r="J258" s="12">
        <v>0.545015522593998</v>
      </c>
      <c r="K258" s="10">
        <v>43835</v>
      </c>
      <c r="L258" s="10">
        <v>0.996616899256574</v>
      </c>
      <c r="M258" s="10">
        <v>0.618764284025534</v>
      </c>
      <c r="N258" s="10">
        <v>15703</v>
      </c>
      <c r="O258" s="10">
        <v>11846.3</v>
      </c>
      <c r="P258" s="10">
        <v>25378</v>
      </c>
      <c r="Q258" s="12">
        <v>0.466794073607061</v>
      </c>
    </row>
    <row r="259" spans="1:17">
      <c r="A259" s="10">
        <v>2013</v>
      </c>
      <c r="B259" s="10" t="s">
        <v>34</v>
      </c>
      <c r="C259" s="11">
        <v>717.98436</v>
      </c>
      <c r="D259" s="11">
        <v>1310.433039</v>
      </c>
      <c r="E259" s="11">
        <v>0.666774</v>
      </c>
      <c r="F259" s="10">
        <v>5.35</v>
      </c>
      <c r="G259" s="10">
        <v>266.327404306667</v>
      </c>
      <c r="H259" s="10">
        <v>6600</v>
      </c>
      <c r="I259" s="10">
        <v>3144</v>
      </c>
      <c r="J259" s="12">
        <v>0.476363636363636</v>
      </c>
      <c r="K259" s="10">
        <v>35702</v>
      </c>
      <c r="L259" s="10">
        <v>1.13113247841032</v>
      </c>
      <c r="M259" s="10">
        <v>0.633632332704755</v>
      </c>
      <c r="N259" s="10">
        <v>14919</v>
      </c>
      <c r="O259" s="10">
        <v>10913.8</v>
      </c>
      <c r="P259" s="10">
        <v>23545.2</v>
      </c>
      <c r="Q259" s="12">
        <v>0.463525474406673</v>
      </c>
    </row>
    <row r="260" spans="1:17">
      <c r="A260" s="10">
        <v>2013</v>
      </c>
      <c r="B260" s="10" t="s">
        <v>35</v>
      </c>
      <c r="C260" s="11">
        <v>453.833082</v>
      </c>
      <c r="D260" s="11">
        <v>1159.192503</v>
      </c>
      <c r="E260" s="11">
        <v>1.911267</v>
      </c>
      <c r="F260" s="10">
        <v>41.2</v>
      </c>
      <c r="G260" s="10">
        <v>493.087725266667</v>
      </c>
      <c r="H260" s="10">
        <v>11270</v>
      </c>
      <c r="I260" s="10">
        <v>7674</v>
      </c>
      <c r="J260" s="12">
        <v>0.68092280390417</v>
      </c>
      <c r="K260" s="10">
        <v>56029</v>
      </c>
      <c r="L260" s="10">
        <v>0.788897444405691</v>
      </c>
      <c r="M260" s="10">
        <v>0.455655212356448</v>
      </c>
      <c r="N260" s="10">
        <v>28480</v>
      </c>
      <c r="O260" s="10">
        <v>29343</v>
      </c>
      <c r="P260" s="10">
        <v>62503.4</v>
      </c>
      <c r="Q260" s="12">
        <v>0.469462461242108</v>
      </c>
    </row>
    <row r="261" spans="1:17">
      <c r="A261" s="10">
        <v>2013</v>
      </c>
      <c r="B261" s="10" t="s">
        <v>36</v>
      </c>
      <c r="C261" s="11">
        <v>578.021337</v>
      </c>
      <c r="D261" s="11">
        <v>1683.425781</v>
      </c>
      <c r="E261" s="11">
        <v>1.82925</v>
      </c>
      <c r="F261" s="10">
        <v>6.99</v>
      </c>
      <c r="G261" s="10">
        <v>189.774942546667</v>
      </c>
      <c r="H261" s="10">
        <v>4731</v>
      </c>
      <c r="I261" s="10">
        <v>2134</v>
      </c>
      <c r="J261" s="12">
        <v>0.451067427605157</v>
      </c>
      <c r="K261" s="10">
        <v>26416</v>
      </c>
      <c r="L261" s="10">
        <v>1.52449264601609</v>
      </c>
      <c r="M261" s="10">
        <v>0.73101764082131</v>
      </c>
      <c r="N261" s="10">
        <v>9100</v>
      </c>
      <c r="O261" s="10">
        <v>4709.3</v>
      </c>
      <c r="P261" s="10">
        <v>12448.4</v>
      </c>
      <c r="Q261" s="12">
        <v>0.378305645705472</v>
      </c>
    </row>
    <row r="262" spans="1:17">
      <c r="A262" s="10">
        <v>2013</v>
      </c>
      <c r="B262" s="10" t="s">
        <v>37</v>
      </c>
      <c r="C262" s="11">
        <v>90.492156</v>
      </c>
      <c r="D262" s="11">
        <v>236.304063</v>
      </c>
      <c r="E262" s="11">
        <v>0.375993</v>
      </c>
      <c r="F262" s="10">
        <v>1.44</v>
      </c>
      <c r="G262" s="10">
        <v>51.9664954666667</v>
      </c>
      <c r="H262" s="10">
        <v>920</v>
      </c>
      <c r="I262" s="10">
        <v>481</v>
      </c>
      <c r="J262" s="12">
        <v>0.522826086956522</v>
      </c>
      <c r="K262" s="10">
        <v>34053</v>
      </c>
      <c r="L262" s="10">
        <v>1.66778444323203</v>
      </c>
      <c r="M262" s="10">
        <v>0.552007445681825</v>
      </c>
      <c r="N262" s="10">
        <v>1720</v>
      </c>
      <c r="O262" s="10">
        <v>750.9</v>
      </c>
      <c r="P262" s="10">
        <v>3115.9</v>
      </c>
      <c r="Q262" s="12">
        <v>0.24098976218749</v>
      </c>
    </row>
    <row r="263" spans="1:17">
      <c r="A263" s="10">
        <v>2013</v>
      </c>
      <c r="B263" s="10" t="s">
        <v>38</v>
      </c>
      <c r="C263" s="11">
        <v>369.730818</v>
      </c>
      <c r="D263" s="11">
        <v>424.188153</v>
      </c>
      <c r="E263" s="11">
        <v>0.948852</v>
      </c>
      <c r="F263" s="10">
        <v>4.81</v>
      </c>
      <c r="G263" s="10">
        <v>134.28004044</v>
      </c>
      <c r="H263" s="10">
        <v>3011</v>
      </c>
      <c r="I263" s="10">
        <v>1755</v>
      </c>
      <c r="J263" s="12">
        <v>0.582862836267021</v>
      </c>
      <c r="K263" s="10">
        <v>43527</v>
      </c>
      <c r="L263" s="10">
        <v>1.03073505818416</v>
      </c>
      <c r="M263" s="10">
        <v>0.617842119807179</v>
      </c>
      <c r="N263" s="10">
        <v>8049</v>
      </c>
      <c r="O263" s="10">
        <v>5988.6</v>
      </c>
      <c r="P263" s="10">
        <v>13027.6</v>
      </c>
      <c r="Q263" s="12">
        <v>0.459685590592281</v>
      </c>
    </row>
    <row r="264" spans="1:17">
      <c r="A264" s="10">
        <v>2013</v>
      </c>
      <c r="B264" s="10" t="s">
        <v>39</v>
      </c>
      <c r="C264" s="11">
        <v>1171.28106</v>
      </c>
      <c r="D264" s="11">
        <v>1900.897101</v>
      </c>
      <c r="E264" s="11">
        <v>1617.823692</v>
      </c>
      <c r="F264" s="10">
        <v>8.89</v>
      </c>
      <c r="G264" s="10">
        <v>277.5084064</v>
      </c>
      <c r="H264" s="10">
        <v>8109</v>
      </c>
      <c r="I264" s="10">
        <v>3646</v>
      </c>
      <c r="J264" s="12">
        <v>0.449623874707116</v>
      </c>
      <c r="K264" s="10">
        <v>32750</v>
      </c>
      <c r="L264" s="10">
        <v>1.04649070970661</v>
      </c>
      <c r="M264" s="10">
        <v>0.724489026321744</v>
      </c>
      <c r="N264" s="10">
        <v>19212</v>
      </c>
      <c r="O264" s="10">
        <v>12418.9</v>
      </c>
      <c r="P264" s="10">
        <v>26518</v>
      </c>
      <c r="Q264" s="12">
        <v>0.468319631948111</v>
      </c>
    </row>
    <row r="265" spans="1:17">
      <c r="A265" s="10">
        <v>2013</v>
      </c>
      <c r="B265" s="10" t="s">
        <v>40</v>
      </c>
      <c r="C265" s="11">
        <v>618.97365</v>
      </c>
      <c r="D265" s="11">
        <v>1037.737971</v>
      </c>
      <c r="E265" s="11">
        <v>24.672186</v>
      </c>
      <c r="F265" s="10">
        <v>3.4</v>
      </c>
      <c r="G265" s="10">
        <v>314.245934786667</v>
      </c>
      <c r="H265" s="10">
        <v>3632</v>
      </c>
      <c r="I265" s="10">
        <v>1376</v>
      </c>
      <c r="J265" s="12">
        <v>0.378854625550661</v>
      </c>
      <c r="K265" s="10">
        <v>22089</v>
      </c>
      <c r="L265" s="10">
        <v>3.94132689652289</v>
      </c>
      <c r="M265" s="10">
        <v>1.16629667256149</v>
      </c>
      <c r="N265" s="10">
        <v>9299</v>
      </c>
      <c r="O265" s="10">
        <v>3171</v>
      </c>
      <c r="P265" s="10">
        <v>7973.1</v>
      </c>
      <c r="Q265" s="12">
        <v>0.397712307634421</v>
      </c>
    </row>
    <row r="266" spans="1:17">
      <c r="A266" s="10">
        <v>2013</v>
      </c>
      <c r="B266" s="10" t="s">
        <v>41</v>
      </c>
      <c r="C266" s="11">
        <v>830.072169</v>
      </c>
      <c r="D266" s="11">
        <v>2606.598873</v>
      </c>
      <c r="E266" s="11">
        <v>254.105811</v>
      </c>
      <c r="F266" s="10">
        <v>3.49</v>
      </c>
      <c r="G266" s="10">
        <v>195.781440713333</v>
      </c>
      <c r="H266" s="10">
        <v>4641</v>
      </c>
      <c r="I266" s="10">
        <v>1856</v>
      </c>
      <c r="J266" s="12">
        <v>0.399913811678518</v>
      </c>
      <c r="K266" s="10">
        <v>27665</v>
      </c>
      <c r="L266" s="10">
        <v>1.52650142850831</v>
      </c>
      <c r="M266" s="10">
        <v>0.785310514209972</v>
      </c>
      <c r="N266" s="10">
        <v>10072</v>
      </c>
      <c r="O266" s="10">
        <v>5000.5</v>
      </c>
      <c r="P266" s="10">
        <v>12825.5</v>
      </c>
      <c r="Q266" s="12">
        <v>0.389887333827141</v>
      </c>
    </row>
    <row r="267" spans="1:17">
      <c r="A267" s="10">
        <v>2013</v>
      </c>
      <c r="B267" s="10" t="s">
        <v>42</v>
      </c>
      <c r="C267" s="11">
        <v>532.904373</v>
      </c>
      <c r="D267" s="11">
        <v>901.816299</v>
      </c>
      <c r="E267" s="11">
        <v>562.732947</v>
      </c>
      <c r="F267" s="10">
        <v>3.39</v>
      </c>
      <c r="G267" s="10">
        <v>482.836290866667</v>
      </c>
      <c r="H267" s="10">
        <v>3804</v>
      </c>
      <c r="I267" s="10">
        <v>1962</v>
      </c>
      <c r="J267" s="12">
        <v>0.515772870662461</v>
      </c>
      <c r="K267" s="10">
        <v>41906</v>
      </c>
      <c r="L267" s="10">
        <v>3.0356752478194</v>
      </c>
      <c r="M267" s="10">
        <v>0.667069045732896</v>
      </c>
      <c r="N267" s="10">
        <v>10610</v>
      </c>
      <c r="O267" s="10">
        <v>8418</v>
      </c>
      <c r="P267" s="10">
        <v>15905.4</v>
      </c>
      <c r="Q267" s="12">
        <v>0.529254215549436</v>
      </c>
    </row>
    <row r="268" spans="1:17">
      <c r="A268" s="10">
        <v>2013</v>
      </c>
      <c r="B268" s="10" t="s">
        <v>43</v>
      </c>
      <c r="C268" s="11">
        <v>547.22439</v>
      </c>
      <c r="D268" s="11">
        <v>368.458362</v>
      </c>
      <c r="E268" s="11">
        <v>1567.262403</v>
      </c>
      <c r="F268" s="10">
        <v>2.12</v>
      </c>
      <c r="G268" s="10">
        <v>181.466489813333</v>
      </c>
      <c r="H268" s="10">
        <v>2537</v>
      </c>
      <c r="I268" s="10">
        <v>1027</v>
      </c>
      <c r="J268" s="12">
        <v>0.404808829325976</v>
      </c>
      <c r="K268" s="10">
        <v>23647</v>
      </c>
      <c r="L268" s="10">
        <v>3.01715005093247</v>
      </c>
      <c r="M268" s="10">
        <v>1.21157203425056</v>
      </c>
      <c r="N268" s="10">
        <v>7287</v>
      </c>
      <c r="O268" s="10">
        <v>2674</v>
      </c>
      <c r="P268" s="10">
        <v>6014.5</v>
      </c>
      <c r="Q268" s="12">
        <v>0.444592235431042</v>
      </c>
    </row>
    <row r="269" spans="1:17">
      <c r="A269" s="10">
        <v>2013</v>
      </c>
      <c r="B269" s="10" t="s">
        <v>44</v>
      </c>
      <c r="C269" s="11">
        <v>60.466482</v>
      </c>
      <c r="D269" s="11">
        <v>61.236684</v>
      </c>
      <c r="E269" s="11">
        <v>4605.425145</v>
      </c>
      <c r="F269" s="10">
        <v>0.48</v>
      </c>
      <c r="G269" s="10">
        <v>70.8347442266667</v>
      </c>
      <c r="H269" s="10">
        <v>571</v>
      </c>
      <c r="I269" s="10">
        <v>281</v>
      </c>
      <c r="J269" s="12">
        <v>0.492119089316988</v>
      </c>
      <c r="K269" s="10">
        <v>30005</v>
      </c>
      <c r="L269" s="10">
        <v>4.13440402887216</v>
      </c>
      <c r="M269" s="10">
        <v>2.19926457713185</v>
      </c>
      <c r="N269" s="10">
        <v>3768</v>
      </c>
      <c r="O269" s="10">
        <v>681</v>
      </c>
      <c r="P269" s="10">
        <v>1713.3</v>
      </c>
      <c r="Q269" s="12">
        <v>0.397478550166346</v>
      </c>
    </row>
    <row r="270" spans="1:17">
      <c r="A270" s="10">
        <v>2013</v>
      </c>
      <c r="B270" s="10" t="s">
        <v>45</v>
      </c>
      <c r="C270" s="11">
        <v>127.402488</v>
      </c>
      <c r="D270" s="11">
        <v>7.121466</v>
      </c>
      <c r="E270" s="11">
        <v>354.025314</v>
      </c>
      <c r="F270" s="10">
        <v>2.19</v>
      </c>
      <c r="G270" s="10">
        <v>187.756074066667</v>
      </c>
      <c r="H270" s="10">
        <v>666</v>
      </c>
      <c r="I270" s="10">
        <v>352</v>
      </c>
      <c r="J270" s="12">
        <v>0.528528528528528</v>
      </c>
      <c r="K270" s="10">
        <v>35135</v>
      </c>
      <c r="L270" s="10">
        <v>8.06616291045524</v>
      </c>
      <c r="M270" s="10">
        <v>2.05395884349358</v>
      </c>
      <c r="N270" s="10">
        <v>4781</v>
      </c>
      <c r="O270" s="10">
        <v>1059.5</v>
      </c>
      <c r="P270" s="10">
        <v>2327.7</v>
      </c>
      <c r="Q270" s="12">
        <v>0.455170339820424</v>
      </c>
    </row>
    <row r="271" spans="1:17">
      <c r="A271" s="10">
        <v>2013</v>
      </c>
      <c r="B271" s="10" t="s">
        <v>46</v>
      </c>
      <c r="C271" s="11">
        <v>834.805791</v>
      </c>
      <c r="D271" s="11">
        <v>175.955211</v>
      </c>
      <c r="E271" s="11">
        <v>3819.285495</v>
      </c>
      <c r="F271" s="10">
        <v>5.36</v>
      </c>
      <c r="G271" s="10">
        <v>336.336771553333</v>
      </c>
      <c r="H271" s="10">
        <v>2285</v>
      </c>
      <c r="I271" s="10">
        <v>1027</v>
      </c>
      <c r="J271" s="12">
        <v>0.44945295404814</v>
      </c>
      <c r="K271" s="10">
        <v>36988</v>
      </c>
      <c r="L271" s="10">
        <v>4.00753963674348</v>
      </c>
      <c r="M271" s="10">
        <v>1.62428806329385</v>
      </c>
      <c r="N271" s="10">
        <v>13632</v>
      </c>
      <c r="O271" s="10">
        <v>3479.9</v>
      </c>
      <c r="P271" s="10">
        <v>8392.6</v>
      </c>
      <c r="Q271" s="12">
        <v>0.414639086814575</v>
      </c>
    </row>
    <row r="272" spans="1:17">
      <c r="A272" s="10">
        <v>2014</v>
      </c>
      <c r="B272" s="10" t="s">
        <v>17</v>
      </c>
      <c r="C272" s="11">
        <v>44.046882</v>
      </c>
      <c r="D272" s="11">
        <v>79.359462</v>
      </c>
      <c r="E272" s="11">
        <v>4.286412</v>
      </c>
      <c r="F272" s="10">
        <v>6.84</v>
      </c>
      <c r="G272" s="10">
        <v>88.9772700450933</v>
      </c>
      <c r="H272" s="10">
        <v>2171</v>
      </c>
      <c r="I272" s="10">
        <v>1878</v>
      </c>
      <c r="J272" s="12">
        <v>0.865039152464302</v>
      </c>
      <c r="K272" s="10">
        <v>106732</v>
      </c>
      <c r="L272" s="10">
        <v>0.38810638595958</v>
      </c>
      <c r="M272" s="10">
        <v>0.297958649568176</v>
      </c>
      <c r="N272" s="10">
        <v>6831</v>
      </c>
      <c r="O272" s="10">
        <v>4433</v>
      </c>
      <c r="P272" s="10">
        <v>22926</v>
      </c>
      <c r="Q272" s="12">
        <v>0.193361249236675</v>
      </c>
    </row>
    <row r="273" spans="1:17">
      <c r="A273" s="10">
        <v>2014</v>
      </c>
      <c r="B273" s="10" t="s">
        <v>18</v>
      </c>
      <c r="C273" s="11">
        <v>63.776097</v>
      </c>
      <c r="D273" s="11">
        <v>3.611403</v>
      </c>
      <c r="E273" s="11">
        <v>0.252189</v>
      </c>
      <c r="F273" s="10">
        <v>2.53</v>
      </c>
      <c r="G273" s="10">
        <v>143.93499226</v>
      </c>
      <c r="H273" s="10">
        <v>1429</v>
      </c>
      <c r="I273" s="10">
        <v>1180</v>
      </c>
      <c r="J273" s="12">
        <v>0.825752274317705</v>
      </c>
      <c r="K273" s="10">
        <v>74960</v>
      </c>
      <c r="L273" s="10">
        <v>1.3526962037855</v>
      </c>
      <c r="M273" s="10">
        <v>0.7654643535139</v>
      </c>
      <c r="N273" s="10">
        <v>8145</v>
      </c>
      <c r="O273" s="10">
        <v>4615.5</v>
      </c>
      <c r="P273" s="10">
        <v>10640.6</v>
      </c>
      <c r="Q273" s="12">
        <v>0.433763133657876</v>
      </c>
    </row>
    <row r="274" spans="1:17">
      <c r="A274" s="10">
        <v>2014</v>
      </c>
      <c r="B274" s="10" t="s">
        <v>19</v>
      </c>
      <c r="C274" s="11">
        <v>844.987878</v>
      </c>
      <c r="D274" s="11">
        <v>435.574116</v>
      </c>
      <c r="E274" s="11">
        <v>347.324337</v>
      </c>
      <c r="F274" s="10">
        <v>7.94</v>
      </c>
      <c r="G274" s="10">
        <v>624.58643386</v>
      </c>
      <c r="H274" s="10">
        <v>7323</v>
      </c>
      <c r="I274" s="10">
        <v>3615</v>
      </c>
      <c r="J274" s="12">
        <v>0.493650143383859</v>
      </c>
      <c r="K274" s="10">
        <v>34507</v>
      </c>
      <c r="L274" s="10">
        <v>2.47764255425663</v>
      </c>
      <c r="M274" s="10">
        <v>1.16308129271805</v>
      </c>
      <c r="N274" s="10">
        <v>29320</v>
      </c>
      <c r="O274" s="10">
        <v>11476.9</v>
      </c>
      <c r="P274" s="10">
        <v>25208.9</v>
      </c>
      <c r="Q274" s="12">
        <v>0.455271749263157</v>
      </c>
    </row>
    <row r="275" spans="1:17">
      <c r="A275" s="10">
        <v>2014</v>
      </c>
      <c r="B275" s="10" t="s">
        <v>20</v>
      </c>
      <c r="C275" s="11">
        <v>559.67688</v>
      </c>
      <c r="D275" s="11">
        <v>381.379653</v>
      </c>
      <c r="E275" s="11">
        <v>536.150502</v>
      </c>
      <c r="F275" s="10">
        <v>4.04</v>
      </c>
      <c r="G275" s="10">
        <v>1552.00530736</v>
      </c>
      <c r="H275" s="10">
        <v>3528</v>
      </c>
      <c r="I275" s="10">
        <v>1916</v>
      </c>
      <c r="J275" s="12">
        <v>0.543083900226757</v>
      </c>
      <c r="K275" s="10">
        <v>34248</v>
      </c>
      <c r="L275" s="10">
        <v>12.8321108201113</v>
      </c>
      <c r="M275" s="10">
        <v>1.64228959792306</v>
      </c>
      <c r="N275" s="10">
        <v>19863</v>
      </c>
      <c r="O275" s="10">
        <v>6378</v>
      </c>
      <c r="P275" s="10">
        <v>12094.7</v>
      </c>
      <c r="Q275" s="12">
        <v>0.527338420961248</v>
      </c>
    </row>
    <row r="276" spans="1:17">
      <c r="A276" s="10">
        <v>2014</v>
      </c>
      <c r="B276" s="10" t="s">
        <v>21</v>
      </c>
      <c r="C276" s="11">
        <v>1362.861189</v>
      </c>
      <c r="D276" s="11">
        <v>1781.94555</v>
      </c>
      <c r="E276" s="11">
        <v>5500.220265</v>
      </c>
      <c r="F276" s="10">
        <v>5.74</v>
      </c>
      <c r="G276" s="10">
        <v>806.00009</v>
      </c>
      <c r="H276" s="10">
        <v>2449</v>
      </c>
      <c r="I276" s="10">
        <v>1493</v>
      </c>
      <c r="J276" s="12">
        <v>0.60963658636178</v>
      </c>
      <c r="K276" s="10">
        <v>49585</v>
      </c>
      <c r="L276" s="10">
        <v>6.62927152045533</v>
      </c>
      <c r="M276" s="10">
        <v>1.50589725452781</v>
      </c>
      <c r="N276" s="10">
        <v>18309</v>
      </c>
      <c r="O276" s="10">
        <v>5114.4</v>
      </c>
      <c r="P276" s="10">
        <v>12158.2</v>
      </c>
      <c r="Q276" s="12">
        <v>0.42065437318024</v>
      </c>
    </row>
    <row r="277" spans="1:17">
      <c r="A277" s="10">
        <v>2014</v>
      </c>
      <c r="B277" s="10" t="s">
        <v>22</v>
      </c>
      <c r="C277" s="11">
        <v>714.303792</v>
      </c>
      <c r="D277" s="11">
        <v>512.774631</v>
      </c>
      <c r="E277" s="11">
        <v>66.674331</v>
      </c>
      <c r="F277" s="10">
        <v>12.2</v>
      </c>
      <c r="G277" s="10">
        <v>520.806553013333</v>
      </c>
      <c r="H277" s="10">
        <v>4358</v>
      </c>
      <c r="I277" s="10">
        <v>2922</v>
      </c>
      <c r="J277" s="12">
        <v>0.670491050940799</v>
      </c>
      <c r="K277" s="10">
        <v>45915</v>
      </c>
      <c r="L277" s="10">
        <v>2.60069087728935</v>
      </c>
      <c r="M277" s="10">
        <v>1.0887509550228</v>
      </c>
      <c r="N277" s="10">
        <v>21803</v>
      </c>
      <c r="O277" s="10">
        <v>9038.8</v>
      </c>
      <c r="P277" s="10">
        <v>20025.7</v>
      </c>
      <c r="Q277" s="12">
        <v>0.45136000239692</v>
      </c>
    </row>
    <row r="278" spans="1:17">
      <c r="A278" s="10">
        <v>2014</v>
      </c>
      <c r="B278" s="10" t="s">
        <v>23</v>
      </c>
      <c r="C278" s="11">
        <v>895.084767</v>
      </c>
      <c r="D278" s="11">
        <v>819.339417</v>
      </c>
      <c r="E278" s="11">
        <v>60.322302</v>
      </c>
      <c r="F278" s="10">
        <v>4.53</v>
      </c>
      <c r="G278" s="10">
        <v>234.968814573333</v>
      </c>
      <c r="H278" s="10">
        <v>2642</v>
      </c>
      <c r="I278" s="10">
        <v>1501</v>
      </c>
      <c r="J278" s="12">
        <v>0.568130204390613</v>
      </c>
      <c r="K278" s="10">
        <v>37539</v>
      </c>
      <c r="L278" s="10">
        <v>2.35758605903109</v>
      </c>
      <c r="M278" s="10">
        <v>0.858877238749812</v>
      </c>
      <c r="N278" s="10">
        <v>8560</v>
      </c>
      <c r="O278" s="10">
        <v>3804.9</v>
      </c>
      <c r="P278" s="10">
        <v>9966.5</v>
      </c>
      <c r="Q278" s="12">
        <v>0.381768925901771</v>
      </c>
    </row>
    <row r="279" spans="1:17">
      <c r="A279" s="10">
        <v>2014</v>
      </c>
      <c r="B279" s="10" t="s">
        <v>24</v>
      </c>
      <c r="C279" s="11">
        <v>2026.565676</v>
      </c>
      <c r="D279" s="11">
        <v>2228.550129</v>
      </c>
      <c r="E279" s="11">
        <v>70.332147</v>
      </c>
      <c r="F279" s="10">
        <v>7.63</v>
      </c>
      <c r="G279" s="10">
        <v>350.354487073333</v>
      </c>
      <c r="H279" s="10">
        <v>3608</v>
      </c>
      <c r="I279" s="10">
        <v>2137</v>
      </c>
      <c r="J279" s="12">
        <v>0.592294900221729</v>
      </c>
      <c r="K279" s="10">
        <v>33464</v>
      </c>
      <c r="L279" s="10">
        <v>2.87864796951173</v>
      </c>
      <c r="M279" s="10">
        <v>0.982269037368127</v>
      </c>
      <c r="N279" s="10">
        <v>11955</v>
      </c>
      <c r="O279" s="10">
        <v>4872.4</v>
      </c>
      <c r="P279" s="10">
        <v>12170.8</v>
      </c>
      <c r="Q279" s="12">
        <v>0.40033522857988</v>
      </c>
    </row>
    <row r="280" spans="1:17">
      <c r="A280" s="10">
        <v>2014</v>
      </c>
      <c r="B280" s="10" t="s">
        <v>25</v>
      </c>
      <c r="C280" s="11">
        <v>43.020009</v>
      </c>
      <c r="D280" s="11">
        <v>0.11169</v>
      </c>
      <c r="E280" s="11">
        <v>0.005751</v>
      </c>
      <c r="F280" s="10">
        <v>12.57</v>
      </c>
      <c r="G280" s="10">
        <v>156.546572718</v>
      </c>
      <c r="H280" s="10">
        <v>2467</v>
      </c>
      <c r="I280" s="10">
        <v>2203</v>
      </c>
      <c r="J280" s="12">
        <v>0.892987434130523</v>
      </c>
      <c r="K280" s="10">
        <v>102827</v>
      </c>
      <c r="L280" s="10">
        <v>0.619500639965493</v>
      </c>
      <c r="M280" s="10">
        <v>0.438665917419212</v>
      </c>
      <c r="N280" s="10">
        <v>11085</v>
      </c>
      <c r="O280" s="10">
        <v>8633.3</v>
      </c>
      <c r="P280" s="10">
        <v>25269.8</v>
      </c>
      <c r="Q280" s="12">
        <v>0.341644967510625</v>
      </c>
    </row>
    <row r="281" spans="1:17">
      <c r="A281" s="10">
        <v>2014</v>
      </c>
      <c r="B281" s="10" t="s">
        <v>26</v>
      </c>
      <c r="C281" s="11">
        <v>710.229915</v>
      </c>
      <c r="D281" s="11">
        <v>17.196705</v>
      </c>
      <c r="E281" s="11">
        <v>0.14643</v>
      </c>
      <c r="F281" s="10">
        <v>26.55</v>
      </c>
      <c r="G281" s="10">
        <v>621.071174273333</v>
      </c>
      <c r="H281" s="10">
        <v>8281</v>
      </c>
      <c r="I281" s="10">
        <v>5441</v>
      </c>
      <c r="J281" s="12">
        <v>0.657046250452844</v>
      </c>
      <c r="K281" s="10">
        <v>78711</v>
      </c>
      <c r="L281" s="10">
        <v>0.957992263322562</v>
      </c>
      <c r="M281" s="10">
        <v>0.460631955638164</v>
      </c>
      <c r="N281" s="10">
        <v>29863</v>
      </c>
      <c r="O281" s="10">
        <v>31048.8</v>
      </c>
      <c r="P281" s="10">
        <v>64830.5</v>
      </c>
      <c r="Q281" s="12">
        <v>0.478922729270945</v>
      </c>
    </row>
    <row r="282" spans="1:17">
      <c r="A282" s="10">
        <v>2014</v>
      </c>
      <c r="B282" s="10" t="s">
        <v>27</v>
      </c>
      <c r="C282" s="11">
        <v>242.072082</v>
      </c>
      <c r="D282" s="11">
        <v>679.281723</v>
      </c>
      <c r="E282" s="11">
        <v>0.161523</v>
      </c>
      <c r="F282" s="10">
        <v>13.26</v>
      </c>
      <c r="G282" s="10">
        <v>380.794701654883</v>
      </c>
      <c r="H282" s="10">
        <v>5890</v>
      </c>
      <c r="I282" s="10">
        <v>3826</v>
      </c>
      <c r="J282" s="12">
        <v>0.649575551782683</v>
      </c>
      <c r="K282" s="10">
        <v>68569</v>
      </c>
      <c r="L282" s="10">
        <v>0.951427790310401</v>
      </c>
      <c r="M282" s="10">
        <v>0.470373655477407</v>
      </c>
      <c r="N282" s="10">
        <v>18826</v>
      </c>
      <c r="O282" s="10">
        <v>19580.7</v>
      </c>
      <c r="P282" s="10">
        <v>40023.5</v>
      </c>
      <c r="Q282" s="12">
        <v>0.489230077329569</v>
      </c>
    </row>
    <row r="283" spans="1:17">
      <c r="A283" s="10">
        <v>2014</v>
      </c>
      <c r="B283" s="10" t="s">
        <v>28</v>
      </c>
      <c r="C283" s="11">
        <v>839.991528</v>
      </c>
      <c r="D283" s="11">
        <v>371.10168</v>
      </c>
      <c r="E283" s="11">
        <v>0.808659</v>
      </c>
      <c r="F283" s="10">
        <v>8.95</v>
      </c>
      <c r="G283" s="10">
        <v>401.79524150701</v>
      </c>
      <c r="H283" s="10">
        <v>5997</v>
      </c>
      <c r="I283" s="10">
        <v>2957</v>
      </c>
      <c r="J283" s="12">
        <v>0.493079873269968</v>
      </c>
      <c r="K283" s="10">
        <v>37580</v>
      </c>
      <c r="L283" s="10">
        <v>1.7841944675418</v>
      </c>
      <c r="M283" s="10">
        <v>0.533355240078687</v>
      </c>
      <c r="N283" s="10">
        <v>12011</v>
      </c>
      <c r="O283" s="10">
        <v>10982.6</v>
      </c>
      <c r="P283" s="10">
        <v>22519.7</v>
      </c>
      <c r="Q283" s="12">
        <v>0.48768855712998</v>
      </c>
    </row>
    <row r="284" spans="1:17">
      <c r="A284" s="10">
        <v>2014</v>
      </c>
      <c r="B284" s="10" t="s">
        <v>29</v>
      </c>
      <c r="C284" s="11">
        <v>153.264645</v>
      </c>
      <c r="D284" s="11">
        <v>1015.041267</v>
      </c>
      <c r="E284" s="11">
        <v>0.740808</v>
      </c>
      <c r="F284" s="10">
        <v>6.04</v>
      </c>
      <c r="G284" s="10">
        <v>229.155176066667</v>
      </c>
      <c r="H284" s="10">
        <v>3945</v>
      </c>
      <c r="I284" s="10">
        <v>2446</v>
      </c>
      <c r="J284" s="12">
        <v>0.620025348542459</v>
      </c>
      <c r="K284" s="10">
        <v>63709</v>
      </c>
      <c r="L284" s="10">
        <v>0.918748525852541</v>
      </c>
      <c r="M284" s="10">
        <v>0.485524474683367</v>
      </c>
      <c r="N284" s="10">
        <v>12110</v>
      </c>
      <c r="O284" s="10">
        <v>13165.1</v>
      </c>
      <c r="P284" s="10">
        <v>24942.1</v>
      </c>
      <c r="Q284" s="12">
        <v>0.52782644604905</v>
      </c>
    </row>
    <row r="285" spans="1:17">
      <c r="A285" s="10">
        <v>2014</v>
      </c>
      <c r="B285" s="10" t="s">
        <v>30</v>
      </c>
      <c r="C285" s="11">
        <v>477.45747</v>
      </c>
      <c r="D285" s="11">
        <v>1079.680599</v>
      </c>
      <c r="E285" s="11">
        <v>1.054287</v>
      </c>
      <c r="F285" s="10">
        <v>5.08</v>
      </c>
      <c r="G285" s="10">
        <v>165.470606633333</v>
      </c>
      <c r="H285" s="10">
        <v>4480</v>
      </c>
      <c r="I285" s="10">
        <v>2265</v>
      </c>
      <c r="J285" s="12">
        <v>0.505580357142857</v>
      </c>
      <c r="K285" s="10">
        <v>34988</v>
      </c>
      <c r="L285" s="10">
        <v>1.05611896139428</v>
      </c>
      <c r="M285" s="10">
        <v>0.514111745107801</v>
      </c>
      <c r="N285" s="10">
        <v>8055</v>
      </c>
      <c r="O285" s="10">
        <v>8238.7</v>
      </c>
      <c r="P285" s="10">
        <v>15667.8</v>
      </c>
      <c r="Q285" s="12">
        <v>0.525836428854083</v>
      </c>
    </row>
    <row r="286" spans="1:17">
      <c r="A286" s="10">
        <v>2014</v>
      </c>
      <c r="B286" s="10" t="s">
        <v>31</v>
      </c>
      <c r="C286" s="11">
        <v>1092.848346</v>
      </c>
      <c r="D286" s="11">
        <v>71.820657</v>
      </c>
      <c r="E286" s="11">
        <v>28.917846</v>
      </c>
      <c r="F286" s="10">
        <v>20.52</v>
      </c>
      <c r="G286" s="10">
        <v>997.830793589697</v>
      </c>
      <c r="H286" s="10">
        <v>9808</v>
      </c>
      <c r="I286" s="10">
        <v>5372</v>
      </c>
      <c r="J286" s="12">
        <v>0.547716150081566</v>
      </c>
      <c r="K286" s="10">
        <v>51933</v>
      </c>
      <c r="L286" s="10">
        <v>1.96520871296331</v>
      </c>
      <c r="M286" s="10">
        <v>0.719077180018434</v>
      </c>
      <c r="N286" s="10">
        <v>36511</v>
      </c>
      <c r="O286" s="10">
        <v>23588</v>
      </c>
      <c r="P286" s="10">
        <v>50774.8</v>
      </c>
      <c r="Q286" s="12">
        <v>0.464561160260602</v>
      </c>
    </row>
    <row r="287" spans="1:17">
      <c r="A287" s="10">
        <v>2014</v>
      </c>
      <c r="B287" s="10" t="s">
        <v>32</v>
      </c>
      <c r="C287" s="11">
        <v>1104.841872</v>
      </c>
      <c r="D287" s="11">
        <v>290.516112</v>
      </c>
      <c r="E287" s="11">
        <v>27.604044</v>
      </c>
      <c r="F287" s="10">
        <v>8.57</v>
      </c>
      <c r="G287" s="10">
        <v>557.526544373333</v>
      </c>
      <c r="H287" s="10">
        <v>9645</v>
      </c>
      <c r="I287" s="10">
        <v>4345</v>
      </c>
      <c r="J287" s="12">
        <v>0.450492483151892</v>
      </c>
      <c r="K287" s="10">
        <v>35982</v>
      </c>
      <c r="L287" s="10">
        <v>1.61252283273752</v>
      </c>
      <c r="M287" s="10">
        <v>0.662042875157629</v>
      </c>
      <c r="N287" s="10">
        <v>22890</v>
      </c>
      <c r="O287" s="10">
        <v>17139.6</v>
      </c>
      <c r="P287" s="10">
        <v>34574.8</v>
      </c>
      <c r="Q287" s="12">
        <v>0.495725210268751</v>
      </c>
    </row>
    <row r="288" spans="1:17">
      <c r="A288" s="10">
        <v>2014</v>
      </c>
      <c r="B288" s="10" t="s">
        <v>33</v>
      </c>
      <c r="C288" s="11">
        <v>815.984244</v>
      </c>
      <c r="D288" s="11">
        <v>906.663438</v>
      </c>
      <c r="E288" s="11">
        <v>3.421872</v>
      </c>
      <c r="F288" s="10">
        <v>7.55</v>
      </c>
      <c r="G288" s="10">
        <v>251.82368012138</v>
      </c>
      <c r="H288" s="10">
        <v>5816</v>
      </c>
      <c r="I288" s="10">
        <v>3241</v>
      </c>
      <c r="J288" s="12">
        <v>0.557255845942228</v>
      </c>
      <c r="K288" s="10">
        <v>48635</v>
      </c>
      <c r="L288" s="10">
        <v>0.891660606404552</v>
      </c>
      <c r="M288" s="10">
        <v>0.577860711491001</v>
      </c>
      <c r="N288" s="10">
        <v>16320</v>
      </c>
      <c r="O288" s="10">
        <v>13007.9</v>
      </c>
      <c r="P288" s="10">
        <v>28242.1</v>
      </c>
      <c r="Q288" s="12">
        <v>0.460585438051703</v>
      </c>
    </row>
    <row r="289" spans="1:17">
      <c r="A289" s="10">
        <v>2014</v>
      </c>
      <c r="B289" s="10" t="s">
        <v>34</v>
      </c>
      <c r="C289" s="11">
        <v>720.337311</v>
      </c>
      <c r="D289" s="11">
        <v>1306.957005</v>
      </c>
      <c r="E289" s="11">
        <v>0.654381</v>
      </c>
      <c r="F289" s="10">
        <v>5.73</v>
      </c>
      <c r="G289" s="10">
        <v>255.969120813333</v>
      </c>
      <c r="H289" s="10">
        <v>6611</v>
      </c>
      <c r="I289" s="10">
        <v>3238</v>
      </c>
      <c r="J289" s="12">
        <v>0.489789744365452</v>
      </c>
      <c r="K289" s="10">
        <v>39181</v>
      </c>
      <c r="L289" s="10">
        <v>0.989011837942195</v>
      </c>
      <c r="M289" s="10">
        <v>0.59181725802027</v>
      </c>
      <c r="N289" s="10">
        <v>15317</v>
      </c>
      <c r="O289" s="10">
        <v>11825.1</v>
      </c>
      <c r="P289" s="10">
        <v>25881.3</v>
      </c>
      <c r="Q289" s="12">
        <v>0.456897451055395</v>
      </c>
    </row>
    <row r="290" spans="1:17">
      <c r="A290" s="10">
        <v>2014</v>
      </c>
      <c r="B290" s="10" t="s">
        <v>35</v>
      </c>
      <c r="C290" s="11">
        <v>456.862149</v>
      </c>
      <c r="D290" s="11">
        <v>1155.829887</v>
      </c>
      <c r="E290" s="11">
        <v>1.808568</v>
      </c>
      <c r="F290" s="10">
        <v>42.19</v>
      </c>
      <c r="G290" s="10">
        <v>500.648493546667</v>
      </c>
      <c r="H290" s="10">
        <v>11489</v>
      </c>
      <c r="I290" s="10">
        <v>7884</v>
      </c>
      <c r="J290" s="12">
        <v>0.686221603272696</v>
      </c>
      <c r="K290" s="10">
        <v>59909</v>
      </c>
      <c r="L290" s="10">
        <v>0.734379436942289</v>
      </c>
      <c r="M290" s="10">
        <v>0.434086808560574</v>
      </c>
      <c r="N290" s="10">
        <v>29593</v>
      </c>
      <c r="O290" s="10">
        <v>31930.4</v>
      </c>
      <c r="P290" s="10">
        <v>68173</v>
      </c>
      <c r="Q290" s="12">
        <v>0.46837310958884</v>
      </c>
    </row>
    <row r="291" spans="1:17">
      <c r="A291" s="10">
        <v>2014</v>
      </c>
      <c r="B291" s="10" t="s">
        <v>36</v>
      </c>
      <c r="C291" s="11">
        <v>580.867605</v>
      </c>
      <c r="D291" s="11">
        <v>1680.660693</v>
      </c>
      <c r="E291" s="11">
        <v>1.910754</v>
      </c>
      <c r="F291" s="10">
        <v>7.24</v>
      </c>
      <c r="G291" s="10">
        <v>183.499613623333</v>
      </c>
      <c r="H291" s="10">
        <v>4770</v>
      </c>
      <c r="I291" s="10">
        <v>2220</v>
      </c>
      <c r="J291" s="12">
        <v>0.465408805031447</v>
      </c>
      <c r="K291" s="10">
        <v>28603</v>
      </c>
      <c r="L291" s="10">
        <v>1.3504733188841</v>
      </c>
      <c r="M291" s="10">
        <v>0.700260527826433</v>
      </c>
      <c r="N291" s="10">
        <v>9515</v>
      </c>
      <c r="O291" s="10">
        <v>5145.6</v>
      </c>
      <c r="P291" s="10">
        <v>13587.8</v>
      </c>
      <c r="Q291" s="12">
        <v>0.378692650760241</v>
      </c>
    </row>
    <row r="292" spans="1:17">
      <c r="A292" s="10">
        <v>2014</v>
      </c>
      <c r="B292" s="10" t="s">
        <v>37</v>
      </c>
      <c r="C292" s="11">
        <v>94.3929</v>
      </c>
      <c r="D292" s="11">
        <v>232.300782</v>
      </c>
      <c r="E292" s="11">
        <v>0.361062</v>
      </c>
      <c r="F292" s="10">
        <v>1.47</v>
      </c>
      <c r="G292" s="10">
        <v>58.8528464333333</v>
      </c>
      <c r="H292" s="10">
        <v>936</v>
      </c>
      <c r="I292" s="10">
        <v>499</v>
      </c>
      <c r="J292" s="12">
        <v>0.533119658119658</v>
      </c>
      <c r="K292" s="10">
        <v>37166</v>
      </c>
      <c r="L292" s="10">
        <v>1.70637420798299</v>
      </c>
      <c r="M292" s="10">
        <v>0.527689185271093</v>
      </c>
      <c r="N292" s="10">
        <v>1820</v>
      </c>
      <c r="O292" s="10">
        <v>826.5</v>
      </c>
      <c r="P292" s="10">
        <v>3449</v>
      </c>
      <c r="Q292" s="12">
        <v>0.239634676717889</v>
      </c>
    </row>
    <row r="293" spans="1:17">
      <c r="A293" s="10">
        <v>2014</v>
      </c>
      <c r="B293" s="10" t="s">
        <v>38</v>
      </c>
      <c r="C293" s="11">
        <v>369.979569</v>
      </c>
      <c r="D293" s="11">
        <v>424.251081</v>
      </c>
      <c r="E293" s="11">
        <v>0.920205</v>
      </c>
      <c r="F293" s="10">
        <v>5.25</v>
      </c>
      <c r="G293" s="10">
        <v>139.116189386667</v>
      </c>
      <c r="H293" s="10">
        <v>3043</v>
      </c>
      <c r="I293" s="10">
        <v>1818</v>
      </c>
      <c r="J293" s="12">
        <v>0.597436740059152</v>
      </c>
      <c r="K293" s="10">
        <v>48311</v>
      </c>
      <c r="L293" s="10">
        <v>0.951299863145466</v>
      </c>
      <c r="M293" s="10">
        <v>0.587603769198156</v>
      </c>
      <c r="N293" s="10">
        <v>8593</v>
      </c>
      <c r="O293" s="10">
        <v>6774.6</v>
      </c>
      <c r="P293" s="10">
        <v>14623.8</v>
      </c>
      <c r="Q293" s="12">
        <v>0.46325852377631</v>
      </c>
    </row>
    <row r="294" spans="1:17">
      <c r="A294" s="10">
        <v>2014</v>
      </c>
      <c r="B294" s="10" t="s">
        <v>39</v>
      </c>
      <c r="C294" s="11">
        <v>1170.221238</v>
      </c>
      <c r="D294" s="11">
        <v>1901.641725</v>
      </c>
      <c r="E294" s="11">
        <v>1615.603653</v>
      </c>
      <c r="F294" s="10">
        <v>8.21</v>
      </c>
      <c r="G294" s="10">
        <v>298.40235778</v>
      </c>
      <c r="H294" s="10">
        <v>8139</v>
      </c>
      <c r="I294" s="10">
        <v>3785</v>
      </c>
      <c r="J294" s="12">
        <v>0.465044845804153</v>
      </c>
      <c r="K294" s="10">
        <v>35563</v>
      </c>
      <c r="L294" s="10">
        <v>1.03284503563356</v>
      </c>
      <c r="M294" s="10">
        <v>0.688061804072506</v>
      </c>
      <c r="N294" s="10">
        <v>19879</v>
      </c>
      <c r="O294" s="10">
        <v>13082.7</v>
      </c>
      <c r="P294" s="10">
        <v>28891.3</v>
      </c>
      <c r="Q294" s="12">
        <v>0.452824898844981</v>
      </c>
    </row>
    <row r="295" spans="1:17">
      <c r="A295" s="10">
        <v>2014</v>
      </c>
      <c r="B295" s="10" t="s">
        <v>40</v>
      </c>
      <c r="C295" s="11">
        <v>618.626259</v>
      </c>
      <c r="D295" s="11">
        <v>1039.864536</v>
      </c>
      <c r="E295" s="11">
        <v>24.304914</v>
      </c>
      <c r="F295" s="10">
        <v>3.57</v>
      </c>
      <c r="G295" s="10">
        <v>319.61199394</v>
      </c>
      <c r="H295" s="10">
        <v>3677</v>
      </c>
      <c r="I295" s="10">
        <v>1480</v>
      </c>
      <c r="J295" s="12">
        <v>0.402502039706282</v>
      </c>
      <c r="K295" s="10">
        <v>25101</v>
      </c>
      <c r="L295" s="10">
        <v>3.48423100086121</v>
      </c>
      <c r="M295" s="10">
        <v>1.05842081738998</v>
      </c>
      <c r="N295" s="10">
        <v>9709</v>
      </c>
      <c r="O295" s="10">
        <v>3582.4</v>
      </c>
      <c r="P295" s="10">
        <v>9173.1</v>
      </c>
      <c r="Q295" s="12">
        <v>0.390533189434324</v>
      </c>
    </row>
    <row r="296" spans="1:17">
      <c r="A296" s="10">
        <v>2014</v>
      </c>
      <c r="B296" s="10" t="s">
        <v>41</v>
      </c>
      <c r="C296" s="11">
        <v>831.448431</v>
      </c>
      <c r="D296" s="11">
        <v>2607.866577</v>
      </c>
      <c r="E296" s="11">
        <v>251.083512</v>
      </c>
      <c r="F296" s="10">
        <v>3.73</v>
      </c>
      <c r="G296" s="10">
        <v>187.770433716108</v>
      </c>
      <c r="H296" s="10">
        <v>4653</v>
      </c>
      <c r="I296" s="10">
        <v>1918</v>
      </c>
      <c r="J296" s="12">
        <v>0.412207178164625</v>
      </c>
      <c r="K296" s="10">
        <v>30217</v>
      </c>
      <c r="L296" s="10">
        <v>1.33723433570086</v>
      </c>
      <c r="M296" s="10">
        <v>0.744567965417293</v>
      </c>
      <c r="N296" s="10">
        <v>10455</v>
      </c>
      <c r="O296" s="10">
        <v>5376.5</v>
      </c>
      <c r="P296" s="10">
        <v>14041.7</v>
      </c>
      <c r="Q296" s="12">
        <v>0.382895233483125</v>
      </c>
    </row>
    <row r="297" spans="1:17">
      <c r="A297" s="10">
        <v>2014</v>
      </c>
      <c r="B297" s="10" t="s">
        <v>42</v>
      </c>
      <c r="C297" s="11">
        <v>531.199287</v>
      </c>
      <c r="D297" s="11">
        <v>905.380902</v>
      </c>
      <c r="E297" s="11">
        <v>560.239083</v>
      </c>
      <c r="F297" s="10">
        <v>3.64</v>
      </c>
      <c r="G297" s="10">
        <v>502.040248951334</v>
      </c>
      <c r="H297" s="10">
        <v>3827</v>
      </c>
      <c r="I297" s="10">
        <v>2029</v>
      </c>
      <c r="J297" s="12">
        <v>0.53018029788346</v>
      </c>
      <c r="K297" s="10">
        <v>45610</v>
      </c>
      <c r="L297" s="10">
        <v>2.88487429364363</v>
      </c>
      <c r="M297" s="10">
        <v>0.644849877891108</v>
      </c>
      <c r="N297" s="10">
        <v>11222</v>
      </c>
      <c r="O297" s="10">
        <v>9045</v>
      </c>
      <c r="P297" s="10">
        <v>17402.5</v>
      </c>
      <c r="Q297" s="12">
        <v>0.51975290906479</v>
      </c>
    </row>
    <row r="298" spans="1:17">
      <c r="A298" s="10">
        <v>2014</v>
      </c>
      <c r="B298" s="10" t="s">
        <v>43</v>
      </c>
      <c r="C298" s="11">
        <v>549.98658</v>
      </c>
      <c r="D298" s="11">
        <v>369.820332</v>
      </c>
      <c r="E298" s="11">
        <v>1560.908448</v>
      </c>
      <c r="F298" s="10">
        <v>2.23</v>
      </c>
      <c r="G298" s="10">
        <v>180.468552293333</v>
      </c>
      <c r="H298" s="10">
        <v>2531</v>
      </c>
      <c r="I298" s="10">
        <v>1070</v>
      </c>
      <c r="J298" s="12">
        <v>0.422757803239826</v>
      </c>
      <c r="K298" s="10">
        <v>25724</v>
      </c>
      <c r="L298" s="10">
        <v>2.76860199271805</v>
      </c>
      <c r="M298" s="10">
        <v>1.15381075110457</v>
      </c>
      <c r="N298" s="10">
        <v>7521</v>
      </c>
      <c r="O298" s="10">
        <v>2823.3</v>
      </c>
      <c r="P298" s="10">
        <v>6518.4</v>
      </c>
      <c r="Q298" s="12">
        <v>0.433127761413844</v>
      </c>
    </row>
    <row r="299" spans="1:17">
      <c r="A299" s="10">
        <v>2014</v>
      </c>
      <c r="B299" s="10" t="s">
        <v>44</v>
      </c>
      <c r="C299" s="11">
        <v>60.591276</v>
      </c>
      <c r="D299" s="11">
        <v>61.251264</v>
      </c>
      <c r="E299" s="11">
        <v>4600.089567</v>
      </c>
      <c r="F299" s="10">
        <v>0.53</v>
      </c>
      <c r="G299" s="10">
        <v>62.5314435733333</v>
      </c>
      <c r="H299" s="10">
        <v>576</v>
      </c>
      <c r="I299" s="10">
        <v>293</v>
      </c>
      <c r="J299" s="12">
        <v>0.508680555555556</v>
      </c>
      <c r="K299" s="10">
        <v>32218</v>
      </c>
      <c r="L299" s="10">
        <v>3.3842855210983</v>
      </c>
      <c r="M299" s="10">
        <v>2.16052389457163</v>
      </c>
      <c r="N299" s="10">
        <v>3992</v>
      </c>
      <c r="O299" s="10">
        <v>714.8</v>
      </c>
      <c r="P299" s="10">
        <v>1847.7</v>
      </c>
      <c r="Q299" s="12">
        <v>0.386859338637225</v>
      </c>
    </row>
    <row r="300" spans="1:17">
      <c r="A300" s="10">
        <v>2014</v>
      </c>
      <c r="B300" s="10" t="s">
        <v>45</v>
      </c>
      <c r="C300" s="11">
        <v>127.36395</v>
      </c>
      <c r="D300" s="11">
        <v>7.162776</v>
      </c>
      <c r="E300" s="11">
        <v>353.746368</v>
      </c>
      <c r="F300" s="10">
        <v>2.32</v>
      </c>
      <c r="G300" s="10">
        <v>195.215828807213</v>
      </c>
      <c r="H300" s="10">
        <v>678</v>
      </c>
      <c r="I300" s="10">
        <v>372</v>
      </c>
      <c r="J300" s="12">
        <v>0.548672566371681</v>
      </c>
      <c r="K300" s="10">
        <v>36815</v>
      </c>
      <c r="L300" s="10">
        <v>7.89101535256936</v>
      </c>
      <c r="M300" s="10">
        <v>1.99927240389668</v>
      </c>
      <c r="N300" s="10">
        <v>4946</v>
      </c>
      <c r="O300" s="10">
        <v>1113.7</v>
      </c>
      <c r="P300" s="10">
        <v>2473.9</v>
      </c>
      <c r="Q300" s="12">
        <v>0.450179877925543</v>
      </c>
    </row>
    <row r="301" spans="1:17">
      <c r="A301" s="10">
        <v>2014</v>
      </c>
      <c r="B301" s="10" t="s">
        <v>46</v>
      </c>
      <c r="C301" s="11">
        <v>849.311361</v>
      </c>
      <c r="D301" s="11">
        <v>176.901741</v>
      </c>
      <c r="E301" s="11">
        <v>3805.133724</v>
      </c>
      <c r="F301" s="10">
        <v>5.7</v>
      </c>
      <c r="G301" s="10">
        <v>366.259665046667</v>
      </c>
      <c r="H301" s="10">
        <v>2325</v>
      </c>
      <c r="I301" s="10">
        <v>1088</v>
      </c>
      <c r="J301" s="12">
        <v>0.467956989247312</v>
      </c>
      <c r="K301" s="10">
        <v>40193</v>
      </c>
      <c r="L301" s="10">
        <v>3.95336677690827</v>
      </c>
      <c r="M301" s="10">
        <v>1.61109611959631</v>
      </c>
      <c r="N301" s="10">
        <v>14926</v>
      </c>
      <c r="O301" s="10">
        <v>3829.3</v>
      </c>
      <c r="P301" s="10">
        <v>9264.5</v>
      </c>
      <c r="Q301" s="12">
        <v>0.413330454962491</v>
      </c>
    </row>
    <row r="302" spans="1:17">
      <c r="A302" s="10">
        <v>2015</v>
      </c>
      <c r="B302" s="10" t="s">
        <v>17</v>
      </c>
      <c r="C302" s="11">
        <v>43.648461</v>
      </c>
      <c r="D302" s="11">
        <v>79.256151</v>
      </c>
      <c r="E302" s="11">
        <v>4.162203</v>
      </c>
      <c r="F302" s="10">
        <v>8.13</v>
      </c>
      <c r="G302" s="10">
        <v>83.3863090666667</v>
      </c>
      <c r="H302" s="10">
        <v>2188</v>
      </c>
      <c r="I302" s="10">
        <v>1897</v>
      </c>
      <c r="J302" s="12">
        <v>0.867001828153565</v>
      </c>
      <c r="K302" s="10">
        <v>113692</v>
      </c>
      <c r="L302" s="10">
        <v>0.336518715638044</v>
      </c>
      <c r="M302" s="10">
        <v>0.274545887461611</v>
      </c>
      <c r="N302" s="10">
        <v>6803</v>
      </c>
      <c r="O302" s="10">
        <v>4419.8</v>
      </c>
      <c r="P302" s="10">
        <v>24779.1</v>
      </c>
      <c r="Q302" s="12">
        <v>0.178368060179748</v>
      </c>
    </row>
    <row r="303" spans="1:17">
      <c r="A303" s="10">
        <v>2015</v>
      </c>
      <c r="B303" s="10" t="s">
        <v>18</v>
      </c>
      <c r="C303" s="11">
        <v>63.240705</v>
      </c>
      <c r="D303" s="11">
        <v>3.599334</v>
      </c>
      <c r="E303" s="11">
        <v>0.245043</v>
      </c>
      <c r="F303" s="10">
        <v>2.84</v>
      </c>
      <c r="G303" s="10">
        <v>135.114756233333</v>
      </c>
      <c r="H303" s="10">
        <v>1439</v>
      </c>
      <c r="I303" s="10">
        <v>1193</v>
      </c>
      <c r="J303" s="12">
        <v>0.829047949965254</v>
      </c>
      <c r="K303" s="10">
        <v>75868</v>
      </c>
      <c r="L303" s="10">
        <v>1.24192064187999</v>
      </c>
      <c r="M303" s="10">
        <v>0.764649110712808</v>
      </c>
      <c r="N303" s="10">
        <v>8319</v>
      </c>
      <c r="O303" s="10">
        <v>4489.6</v>
      </c>
      <c r="P303" s="10">
        <v>10879.5</v>
      </c>
      <c r="Q303" s="12">
        <v>0.412666023254745</v>
      </c>
    </row>
    <row r="304" spans="1:17">
      <c r="A304" s="10">
        <v>2015</v>
      </c>
      <c r="B304" s="10" t="s">
        <v>19</v>
      </c>
      <c r="C304" s="11">
        <v>840.976344</v>
      </c>
      <c r="D304" s="11">
        <v>437.92038</v>
      </c>
      <c r="E304" s="11">
        <v>343.102635</v>
      </c>
      <c r="F304" s="10">
        <v>8.13</v>
      </c>
      <c r="G304" s="10">
        <v>639.367054886667</v>
      </c>
      <c r="H304" s="10">
        <v>7345</v>
      </c>
      <c r="I304" s="10">
        <v>3795</v>
      </c>
      <c r="J304" s="12">
        <v>0.516678012253234</v>
      </c>
      <c r="K304" s="10">
        <v>35994</v>
      </c>
      <c r="L304" s="10">
        <v>2.42199169224902</v>
      </c>
      <c r="M304" s="10">
        <v>1.17571519486029</v>
      </c>
      <c r="N304" s="10">
        <v>31037</v>
      </c>
      <c r="O304" s="10">
        <v>11519.5</v>
      </c>
      <c r="P304" s="10">
        <v>26398.4</v>
      </c>
      <c r="Q304" s="12">
        <v>0.436371143705679</v>
      </c>
    </row>
    <row r="305" spans="1:17">
      <c r="A305" s="10">
        <v>2015</v>
      </c>
      <c r="B305" s="10" t="s">
        <v>20</v>
      </c>
      <c r="C305" s="11">
        <v>556.847334</v>
      </c>
      <c r="D305" s="11">
        <v>383.022936</v>
      </c>
      <c r="E305" s="11">
        <v>536.138829</v>
      </c>
      <c r="F305" s="10">
        <v>4.2</v>
      </c>
      <c r="G305" s="10">
        <v>1474.49878892667</v>
      </c>
      <c r="H305" s="10">
        <v>3519</v>
      </c>
      <c r="I305" s="10">
        <v>1966</v>
      </c>
      <c r="J305" s="12">
        <v>0.55868144359193</v>
      </c>
      <c r="K305" s="10">
        <v>33593</v>
      </c>
      <c r="L305" s="10">
        <v>12.457324768736</v>
      </c>
      <c r="M305" s="10">
        <v>1.6076678719881</v>
      </c>
      <c r="N305" s="10">
        <v>19029</v>
      </c>
      <c r="O305" s="10">
        <v>5219.7</v>
      </c>
      <c r="P305" s="10">
        <v>11836.4</v>
      </c>
      <c r="Q305" s="12">
        <v>0.440987124463519</v>
      </c>
    </row>
    <row r="306" spans="1:17">
      <c r="A306" s="10">
        <v>2015</v>
      </c>
      <c r="B306" s="10" t="s">
        <v>21</v>
      </c>
      <c r="C306" s="11">
        <v>1377.816507</v>
      </c>
      <c r="D306" s="11">
        <v>1782.05121</v>
      </c>
      <c r="E306" s="11">
        <v>5481.972117</v>
      </c>
      <c r="F306" s="10">
        <v>6.31</v>
      </c>
      <c r="G306" s="10">
        <v>753.799941893334</v>
      </c>
      <c r="H306" s="10">
        <v>2440</v>
      </c>
      <c r="I306" s="10">
        <v>1515</v>
      </c>
      <c r="J306" s="12">
        <v>0.620901639344262</v>
      </c>
      <c r="K306" s="10">
        <v>52972</v>
      </c>
      <c r="L306" s="10">
        <v>5.82129849326847</v>
      </c>
      <c r="M306" s="10">
        <v>1.45061394702294</v>
      </c>
      <c r="N306" s="10">
        <v>18784</v>
      </c>
      <c r="O306" s="10">
        <v>5269.5</v>
      </c>
      <c r="P306" s="10">
        <v>12949</v>
      </c>
      <c r="Q306" s="12">
        <v>0.406942621051819</v>
      </c>
    </row>
    <row r="307" spans="1:17">
      <c r="A307" s="10">
        <v>2015</v>
      </c>
      <c r="B307" s="10" t="s">
        <v>22</v>
      </c>
      <c r="C307" s="11">
        <v>714.365199</v>
      </c>
      <c r="D307" s="11">
        <v>514.061397</v>
      </c>
      <c r="E307" s="11">
        <v>64.067427</v>
      </c>
      <c r="F307" s="10">
        <v>12.42</v>
      </c>
      <c r="G307" s="10">
        <v>502.370906293275</v>
      </c>
      <c r="H307" s="10">
        <v>4338</v>
      </c>
      <c r="I307" s="10">
        <v>2952</v>
      </c>
      <c r="J307" s="12">
        <v>0.680497925311203</v>
      </c>
      <c r="K307" s="10">
        <v>46482</v>
      </c>
      <c r="L307" s="10">
        <v>2.48571721495116</v>
      </c>
      <c r="M307" s="10">
        <v>1.05698579437218</v>
      </c>
      <c r="N307" s="10">
        <v>21362</v>
      </c>
      <c r="O307" s="10">
        <v>8344.6</v>
      </c>
      <c r="P307" s="10">
        <v>20210.3</v>
      </c>
      <c r="Q307" s="12">
        <v>0.412888477657432</v>
      </c>
    </row>
    <row r="308" spans="1:17">
      <c r="A308" s="10">
        <v>2015</v>
      </c>
      <c r="B308" s="10" t="s">
        <v>23</v>
      </c>
      <c r="C308" s="11">
        <v>895.37877</v>
      </c>
      <c r="D308" s="11">
        <v>819.50706</v>
      </c>
      <c r="E308" s="11">
        <v>59.797836</v>
      </c>
      <c r="F308" s="10">
        <v>4.73</v>
      </c>
      <c r="G308" s="10">
        <v>218.851762753333</v>
      </c>
      <c r="H308" s="10">
        <v>2613</v>
      </c>
      <c r="I308" s="10">
        <v>1506</v>
      </c>
      <c r="J308" s="12">
        <v>0.576349024110218</v>
      </c>
      <c r="K308" s="10">
        <v>38128</v>
      </c>
      <c r="L308" s="10">
        <v>2.18458537386038</v>
      </c>
      <c r="M308" s="10">
        <v>0.700738670393292</v>
      </c>
      <c r="N308" s="10">
        <v>7020</v>
      </c>
      <c r="O308" s="10">
        <v>3837.8</v>
      </c>
      <c r="P308" s="10">
        <v>10018</v>
      </c>
      <c r="Q308" s="12">
        <v>0.383090437213017</v>
      </c>
    </row>
    <row r="309" spans="1:17">
      <c r="A309" s="10">
        <v>2015</v>
      </c>
      <c r="B309" s="10" t="s">
        <v>24</v>
      </c>
      <c r="C309" s="11">
        <v>2032.942095</v>
      </c>
      <c r="D309" s="11">
        <v>2221.23717</v>
      </c>
      <c r="E309" s="11">
        <v>70.428132</v>
      </c>
      <c r="F309" s="10">
        <v>7.65</v>
      </c>
      <c r="G309" s="10">
        <v>347.804714306667</v>
      </c>
      <c r="H309" s="10">
        <v>3529</v>
      </c>
      <c r="I309" s="10">
        <v>2134</v>
      </c>
      <c r="J309" s="12">
        <v>0.604703882119581</v>
      </c>
      <c r="K309" s="10">
        <v>32759</v>
      </c>
      <c r="L309" s="10">
        <v>2.97523279988594</v>
      </c>
      <c r="M309" s="10">
        <v>0.949871685201026</v>
      </c>
      <c r="N309" s="10">
        <v>11104</v>
      </c>
      <c r="O309" s="10">
        <v>3926.9</v>
      </c>
      <c r="P309" s="10">
        <v>11690</v>
      </c>
      <c r="Q309" s="12">
        <v>0.335919589392643</v>
      </c>
    </row>
    <row r="310" spans="1:17">
      <c r="A310" s="10">
        <v>2015</v>
      </c>
      <c r="B310" s="10" t="s">
        <v>25</v>
      </c>
      <c r="C310" s="11">
        <v>42.937893</v>
      </c>
      <c r="D310" s="11">
        <v>0.099495</v>
      </c>
      <c r="E310" s="11">
        <v>0.005607</v>
      </c>
      <c r="F310" s="10">
        <v>12.73</v>
      </c>
      <c r="G310" s="10">
        <v>161.6468814</v>
      </c>
      <c r="H310" s="10">
        <v>2458</v>
      </c>
      <c r="I310" s="10">
        <v>2176</v>
      </c>
      <c r="J310" s="12">
        <v>0.885272579332791</v>
      </c>
      <c r="K310" s="10">
        <v>109186</v>
      </c>
      <c r="L310" s="10">
        <v>0.601208321493658</v>
      </c>
      <c r="M310" s="10">
        <v>0.406553352921486</v>
      </c>
      <c r="N310" s="10">
        <v>10931</v>
      </c>
      <c r="O310" s="10">
        <v>8408.7</v>
      </c>
      <c r="P310" s="10">
        <v>26887</v>
      </c>
      <c r="Q310" s="12">
        <v>0.312742217428497</v>
      </c>
    </row>
    <row r="311" spans="1:17">
      <c r="A311" s="10">
        <v>2015</v>
      </c>
      <c r="B311" s="10" t="s">
        <v>26</v>
      </c>
      <c r="C311" s="11">
        <v>707.112351</v>
      </c>
      <c r="D311" s="11">
        <v>16.960644</v>
      </c>
      <c r="E311" s="11">
        <v>0.117855</v>
      </c>
      <c r="F311" s="10">
        <v>27.41</v>
      </c>
      <c r="G311" s="10">
        <v>634.16123836</v>
      </c>
      <c r="H311" s="10">
        <v>8315</v>
      </c>
      <c r="I311" s="10">
        <v>5612</v>
      </c>
      <c r="J311" s="12">
        <v>0.6749248346362</v>
      </c>
      <c r="K311" s="10">
        <v>85871</v>
      </c>
      <c r="L311" s="10">
        <v>0.889977164501466</v>
      </c>
      <c r="M311" s="10">
        <v>0.426266456532021</v>
      </c>
      <c r="N311" s="10">
        <v>30374</v>
      </c>
      <c r="O311" s="10">
        <v>33371.8</v>
      </c>
      <c r="P311" s="10">
        <v>71255.9</v>
      </c>
      <c r="Q311" s="12">
        <v>0.468337358730996</v>
      </c>
    </row>
    <row r="312" spans="1:17">
      <c r="A312" s="10">
        <v>2015</v>
      </c>
      <c r="B312" s="10" t="s">
        <v>27</v>
      </c>
      <c r="C312" s="11">
        <v>243.463995</v>
      </c>
      <c r="D312" s="11">
        <v>676.351989</v>
      </c>
      <c r="E312" s="11">
        <v>0.159696</v>
      </c>
      <c r="F312" s="10">
        <v>13.8</v>
      </c>
      <c r="G312" s="10">
        <v>381.50131998</v>
      </c>
      <c r="H312" s="10">
        <v>5985</v>
      </c>
      <c r="I312" s="10">
        <v>3969</v>
      </c>
      <c r="J312" s="12">
        <v>0.663157894736842</v>
      </c>
      <c r="K312" s="10">
        <v>73276</v>
      </c>
      <c r="L312" s="10">
        <v>0.876859314512144</v>
      </c>
      <c r="M312" s="10">
        <v>0.450724814228286</v>
      </c>
      <c r="N312" s="10">
        <v>19610</v>
      </c>
      <c r="O312" s="10">
        <v>20606.6</v>
      </c>
      <c r="P312" s="10">
        <v>43507.7</v>
      </c>
      <c r="Q312" s="12">
        <v>0.473631104379225</v>
      </c>
    </row>
    <row r="313" spans="1:17">
      <c r="A313" s="10">
        <v>2015</v>
      </c>
      <c r="B313" s="10" t="s">
        <v>28</v>
      </c>
      <c r="C313" s="11">
        <v>837.484029</v>
      </c>
      <c r="D313" s="11">
        <v>369.800712</v>
      </c>
      <c r="E313" s="11">
        <v>0.793341</v>
      </c>
      <c r="F313" s="10">
        <v>9.38</v>
      </c>
      <c r="G313" s="10">
        <v>392.848295426667</v>
      </c>
      <c r="H313" s="10">
        <v>6011</v>
      </c>
      <c r="I313" s="10">
        <v>3064</v>
      </c>
      <c r="J313" s="12">
        <v>0.509732157710863</v>
      </c>
      <c r="K313" s="10">
        <v>39692</v>
      </c>
      <c r="L313" s="10">
        <v>1.64846208091354</v>
      </c>
      <c r="M313" s="10">
        <v>0.516172076941153</v>
      </c>
      <c r="N313" s="10">
        <v>12301</v>
      </c>
      <c r="O313" s="10">
        <v>10838.3</v>
      </c>
      <c r="P313" s="10">
        <v>23831.2</v>
      </c>
      <c r="Q313" s="12">
        <v>0.454794555037094</v>
      </c>
    </row>
    <row r="314" spans="1:17">
      <c r="A314" s="10">
        <v>2015</v>
      </c>
      <c r="B314" s="10" t="s">
        <v>29</v>
      </c>
      <c r="C314" s="11">
        <v>158.229711</v>
      </c>
      <c r="D314" s="11">
        <v>1009.460394</v>
      </c>
      <c r="E314" s="11">
        <v>0.706518</v>
      </c>
      <c r="F314" s="10">
        <v>6.45</v>
      </c>
      <c r="G314" s="10">
        <v>234.474525913333</v>
      </c>
      <c r="H314" s="10">
        <v>3984</v>
      </c>
      <c r="I314" s="10">
        <v>2519</v>
      </c>
      <c r="J314" s="12">
        <v>0.632279116465863</v>
      </c>
      <c r="K314" s="10">
        <v>67649</v>
      </c>
      <c r="L314" s="10">
        <v>0.874268819006071</v>
      </c>
      <c r="M314" s="10">
        <v>0.44232741102556</v>
      </c>
      <c r="N314" s="10">
        <v>11863</v>
      </c>
      <c r="O314" s="10">
        <v>13735.7</v>
      </c>
      <c r="P314" s="10">
        <v>26819.5</v>
      </c>
      <c r="Q314" s="12">
        <v>0.51215347042264</v>
      </c>
    </row>
    <row r="315" spans="1:17">
      <c r="A315" s="10">
        <v>2015</v>
      </c>
      <c r="B315" s="10" t="s">
        <v>30</v>
      </c>
      <c r="C315" s="11">
        <v>482.012811</v>
      </c>
      <c r="D315" s="11">
        <v>1072.81737</v>
      </c>
      <c r="E315" s="11">
        <v>0.959346</v>
      </c>
      <c r="F315" s="10">
        <v>5.41</v>
      </c>
      <c r="G315" s="10">
        <v>170.4058129</v>
      </c>
      <c r="H315" s="10">
        <v>4485</v>
      </c>
      <c r="I315" s="10">
        <v>2346</v>
      </c>
      <c r="J315" s="12">
        <v>0.523076923076923</v>
      </c>
      <c r="K315" s="10">
        <v>37436</v>
      </c>
      <c r="L315" s="10">
        <v>1.01547481303148</v>
      </c>
      <c r="M315" s="10">
        <v>0.501939705260147</v>
      </c>
      <c r="N315" s="10">
        <v>8423</v>
      </c>
      <c r="O315" s="10">
        <v>8367.7</v>
      </c>
      <c r="P315" s="10">
        <v>16780.9</v>
      </c>
      <c r="Q315" s="12">
        <v>0.498644292022478</v>
      </c>
    </row>
    <row r="316" spans="1:17">
      <c r="A316" s="10">
        <v>2015</v>
      </c>
      <c r="B316" s="10" t="s">
        <v>31</v>
      </c>
      <c r="C316" s="11">
        <v>1086.52086</v>
      </c>
      <c r="D316" s="11">
        <v>73.436382</v>
      </c>
      <c r="E316" s="11">
        <v>28.950282</v>
      </c>
      <c r="F316" s="10">
        <v>21.35</v>
      </c>
      <c r="G316" s="10">
        <v>1052.18414882</v>
      </c>
      <c r="H316" s="10">
        <v>9866</v>
      </c>
      <c r="I316" s="10">
        <v>5621</v>
      </c>
      <c r="J316" s="12">
        <v>0.569734441516319</v>
      </c>
      <c r="K316" s="10">
        <v>56205</v>
      </c>
      <c r="L316" s="10">
        <v>1.90306924516358</v>
      </c>
      <c r="M316" s="10">
        <v>0.711391818957908</v>
      </c>
      <c r="N316" s="10">
        <v>39332</v>
      </c>
      <c r="O316" s="10">
        <v>24814.9</v>
      </c>
      <c r="P316" s="10">
        <v>55288.8</v>
      </c>
      <c r="Q316" s="12">
        <v>0.448823269812331</v>
      </c>
    </row>
    <row r="317" spans="1:17">
      <c r="A317" s="10">
        <v>2015</v>
      </c>
      <c r="B317" s="10" t="s">
        <v>32</v>
      </c>
      <c r="C317" s="11">
        <v>1099.495692</v>
      </c>
      <c r="D317" s="11">
        <v>291.632499</v>
      </c>
      <c r="E317" s="11">
        <v>26.713899</v>
      </c>
      <c r="F317" s="10">
        <v>9</v>
      </c>
      <c r="G317" s="10">
        <v>537.066064273333</v>
      </c>
      <c r="H317" s="10">
        <v>9701</v>
      </c>
      <c r="I317" s="10">
        <v>4561</v>
      </c>
      <c r="J317" s="12">
        <v>0.470157715699412</v>
      </c>
      <c r="K317" s="10">
        <v>38338</v>
      </c>
      <c r="L317" s="10">
        <v>1.44823809738765</v>
      </c>
      <c r="M317" s="10">
        <v>0.602495409083677</v>
      </c>
      <c r="N317" s="10">
        <v>22343</v>
      </c>
      <c r="O317" s="10">
        <v>17947.9</v>
      </c>
      <c r="P317" s="10">
        <v>37084.1</v>
      </c>
      <c r="Q317" s="12">
        <v>0.483978308763055</v>
      </c>
    </row>
    <row r="318" spans="1:17">
      <c r="A318" s="10">
        <v>2015</v>
      </c>
      <c r="B318" s="10" t="s">
        <v>33</v>
      </c>
      <c r="C318" s="11">
        <v>812.277819</v>
      </c>
      <c r="D318" s="11">
        <v>907.978941</v>
      </c>
      <c r="E318" s="11">
        <v>3.290283</v>
      </c>
      <c r="F318" s="10">
        <v>8.03</v>
      </c>
      <c r="G318" s="10">
        <v>252.87707376</v>
      </c>
      <c r="H318" s="10">
        <v>5850</v>
      </c>
      <c r="I318" s="10">
        <v>3345</v>
      </c>
      <c r="J318" s="12">
        <v>0.571794871794872</v>
      </c>
      <c r="K318" s="10">
        <v>52021</v>
      </c>
      <c r="L318" s="10">
        <v>0.833367630371737</v>
      </c>
      <c r="M318" s="10">
        <v>0.510051410493013</v>
      </c>
      <c r="N318" s="10">
        <v>15477</v>
      </c>
      <c r="O318" s="10">
        <v>13569.5</v>
      </c>
      <c r="P318" s="10">
        <v>30344</v>
      </c>
      <c r="Q318" s="12">
        <v>0.44718890060638</v>
      </c>
    </row>
    <row r="319" spans="1:17">
      <c r="A319" s="10">
        <v>2015</v>
      </c>
      <c r="B319" s="10" t="s">
        <v>34</v>
      </c>
      <c r="C319" s="11">
        <v>716.507739</v>
      </c>
      <c r="D319" s="11">
        <v>1309.343886</v>
      </c>
      <c r="E319" s="11">
        <v>0.668988</v>
      </c>
      <c r="F319" s="10">
        <v>5.94</v>
      </c>
      <c r="G319" s="10">
        <v>250.515767013333</v>
      </c>
      <c r="H319" s="10">
        <v>6615</v>
      </c>
      <c r="I319" s="10">
        <v>3360</v>
      </c>
      <c r="J319" s="12">
        <v>0.507936507936508</v>
      </c>
      <c r="K319" s="10">
        <v>43155</v>
      </c>
      <c r="L319" s="10">
        <v>0.877813792594358</v>
      </c>
      <c r="M319" s="10">
        <v>0.508574351930368</v>
      </c>
      <c r="N319" s="10">
        <v>14514</v>
      </c>
      <c r="O319" s="10">
        <v>12665.7</v>
      </c>
      <c r="P319" s="10">
        <v>28538.6</v>
      </c>
      <c r="Q319" s="12">
        <v>0.443809437043163</v>
      </c>
    </row>
    <row r="320" spans="1:17">
      <c r="A320" s="10">
        <v>2015</v>
      </c>
      <c r="B320" s="10" t="s">
        <v>35</v>
      </c>
      <c r="C320" s="11">
        <v>460.545183</v>
      </c>
      <c r="D320" s="11">
        <v>1152.098892</v>
      </c>
      <c r="E320" s="11">
        <v>1.663299</v>
      </c>
      <c r="F320" s="10">
        <v>43.84</v>
      </c>
      <c r="G320" s="10">
        <v>497.94584974</v>
      </c>
      <c r="H320" s="10">
        <v>11678</v>
      </c>
      <c r="I320" s="10">
        <v>8117</v>
      </c>
      <c r="J320" s="12">
        <v>0.695067648569961</v>
      </c>
      <c r="K320" s="10">
        <v>64516</v>
      </c>
      <c r="L320" s="10">
        <v>0.666305176523168</v>
      </c>
      <c r="M320" s="10">
        <v>0.402997896494693</v>
      </c>
      <c r="N320" s="10">
        <v>30117</v>
      </c>
      <c r="O320" s="10">
        <v>33913.8</v>
      </c>
      <c r="P320" s="10">
        <v>74732.4</v>
      </c>
      <c r="Q320" s="12">
        <v>0.453803169709524</v>
      </c>
    </row>
    <row r="321" spans="1:17">
      <c r="A321" s="10">
        <v>2015</v>
      </c>
      <c r="B321" s="10" t="s">
        <v>36</v>
      </c>
      <c r="C321" s="11">
        <v>576.886086</v>
      </c>
      <c r="D321" s="11">
        <v>1683.567972</v>
      </c>
      <c r="E321" s="11">
        <v>1.920519</v>
      </c>
      <c r="F321" s="10">
        <v>8.24</v>
      </c>
      <c r="G321" s="10">
        <v>173.226029226667</v>
      </c>
      <c r="H321" s="10">
        <v>4811</v>
      </c>
      <c r="I321" s="10">
        <v>2309</v>
      </c>
      <c r="J321" s="12">
        <v>0.479941800041571</v>
      </c>
      <c r="K321" s="10">
        <v>30890</v>
      </c>
      <c r="L321" s="10">
        <v>1.17062015452747</v>
      </c>
      <c r="M321" s="10">
        <v>0.662666071983673</v>
      </c>
      <c r="N321" s="10">
        <v>9806</v>
      </c>
      <c r="O321" s="10">
        <v>5391</v>
      </c>
      <c r="P321" s="10">
        <v>14797.8</v>
      </c>
      <c r="Q321" s="12">
        <v>0.364310911081377</v>
      </c>
    </row>
    <row r="322" spans="1:17">
      <c r="A322" s="10">
        <v>2015</v>
      </c>
      <c r="B322" s="10" t="s">
        <v>37</v>
      </c>
      <c r="C322" s="11">
        <v>98.530623</v>
      </c>
      <c r="D322" s="11">
        <v>228.107826</v>
      </c>
      <c r="E322" s="11">
        <v>0.332019</v>
      </c>
      <c r="F322" s="10">
        <v>1.49</v>
      </c>
      <c r="G322" s="10">
        <v>65.3546316333333</v>
      </c>
      <c r="H322" s="10">
        <v>945</v>
      </c>
      <c r="I322" s="10">
        <v>519</v>
      </c>
      <c r="J322" s="12">
        <v>0.549206349206349</v>
      </c>
      <c r="K322" s="10">
        <v>39704</v>
      </c>
      <c r="L322" s="10">
        <v>1.75016420206024</v>
      </c>
      <c r="M322" s="10">
        <v>0.51309517433453</v>
      </c>
      <c r="N322" s="10">
        <v>1916</v>
      </c>
      <c r="O322" s="10">
        <v>882.9</v>
      </c>
      <c r="P322" s="10">
        <v>3734.2</v>
      </c>
      <c r="Q322" s="12">
        <v>0.23643618445718</v>
      </c>
    </row>
    <row r="323" spans="1:17">
      <c r="A323" s="10">
        <v>2015</v>
      </c>
      <c r="B323" s="10" t="s">
        <v>38</v>
      </c>
      <c r="C323" s="11">
        <v>367.921161</v>
      </c>
      <c r="D323" s="11">
        <v>426.284046</v>
      </c>
      <c r="E323" s="11">
        <v>0.925389</v>
      </c>
      <c r="F323" s="10">
        <v>5.59</v>
      </c>
      <c r="G323" s="10">
        <v>139.192561266667</v>
      </c>
      <c r="H323" s="10">
        <v>3070</v>
      </c>
      <c r="I323" s="10">
        <v>1887</v>
      </c>
      <c r="J323" s="12">
        <v>0.614657980456026</v>
      </c>
      <c r="K323" s="10">
        <v>52480</v>
      </c>
      <c r="L323" s="10">
        <v>0.86775699801544</v>
      </c>
      <c r="M323" s="10">
        <v>0.482964994856769</v>
      </c>
      <c r="N323" s="10">
        <v>7747</v>
      </c>
      <c r="O323" s="10">
        <v>7208</v>
      </c>
      <c r="P323" s="10">
        <v>16040.5</v>
      </c>
      <c r="Q323" s="12">
        <v>0.449362551042673</v>
      </c>
    </row>
    <row r="324" spans="1:17">
      <c r="A324" s="10">
        <v>2015</v>
      </c>
      <c r="B324" s="10" t="s">
        <v>39</v>
      </c>
      <c r="C324" s="11">
        <v>1160.689284</v>
      </c>
      <c r="D324" s="11">
        <v>1911.548223</v>
      </c>
      <c r="E324" s="11">
        <v>1618.040691</v>
      </c>
      <c r="F324" s="10">
        <v>8.71</v>
      </c>
      <c r="G324" s="10">
        <v>253.584069566667</v>
      </c>
      <c r="H324" s="10">
        <v>8196</v>
      </c>
      <c r="I324" s="10">
        <v>3956</v>
      </c>
      <c r="J324" s="12">
        <v>0.482674475353831</v>
      </c>
      <c r="K324" s="10">
        <v>37150</v>
      </c>
      <c r="L324" s="10">
        <v>0.835752651659965</v>
      </c>
      <c r="M324" s="10">
        <v>0.603322127743722</v>
      </c>
      <c r="N324" s="10">
        <v>18306</v>
      </c>
      <c r="O324" s="10">
        <v>13192.5</v>
      </c>
      <c r="P324" s="10">
        <v>30342</v>
      </c>
      <c r="Q324" s="12">
        <v>0.434793355744513</v>
      </c>
    </row>
    <row r="325" spans="1:17">
      <c r="A325" s="10">
        <v>2015</v>
      </c>
      <c r="B325" s="10" t="s">
        <v>40</v>
      </c>
      <c r="C325" s="11">
        <v>615.699207</v>
      </c>
      <c r="D325" s="11">
        <v>1044.385344</v>
      </c>
      <c r="E325" s="11">
        <v>24.87303</v>
      </c>
      <c r="F325" s="10">
        <v>3.67</v>
      </c>
      <c r="G325" s="10">
        <v>327.570388513333</v>
      </c>
      <c r="H325" s="10">
        <v>3708</v>
      </c>
      <c r="I325" s="10">
        <v>1593</v>
      </c>
      <c r="J325" s="12">
        <v>0.429611650485437</v>
      </c>
      <c r="K325" s="10">
        <v>28547</v>
      </c>
      <c r="L325" s="10">
        <v>3.10758361173829</v>
      </c>
      <c r="M325" s="10">
        <v>0.88644341144104</v>
      </c>
      <c r="N325" s="10">
        <v>9344</v>
      </c>
      <c r="O325" s="10">
        <v>4026.7</v>
      </c>
      <c r="P325" s="10">
        <v>10541</v>
      </c>
      <c r="Q325" s="12">
        <v>0.382003604971065</v>
      </c>
    </row>
    <row r="326" spans="1:17">
      <c r="A326" s="10">
        <v>2015</v>
      </c>
      <c r="B326" s="10" t="s">
        <v>41</v>
      </c>
      <c r="C326" s="11">
        <v>821.68011</v>
      </c>
      <c r="D326" s="11">
        <v>2618.004915</v>
      </c>
      <c r="E326" s="11">
        <v>251.2269</v>
      </c>
      <c r="F326" s="10">
        <v>3.94</v>
      </c>
      <c r="G326" s="10">
        <v>178.651317326667</v>
      </c>
      <c r="H326" s="10">
        <v>4663</v>
      </c>
      <c r="I326" s="10">
        <v>2002</v>
      </c>
      <c r="J326" s="12">
        <v>0.429337336478662</v>
      </c>
      <c r="K326" s="10">
        <v>32117</v>
      </c>
      <c r="L326" s="10">
        <v>1.19419329763815</v>
      </c>
      <c r="M326" s="10">
        <v>0.696858288770054</v>
      </c>
      <c r="N326" s="10">
        <v>10425</v>
      </c>
      <c r="O326" s="10">
        <v>5491.7</v>
      </c>
      <c r="P326" s="10">
        <v>14960</v>
      </c>
      <c r="Q326" s="12">
        <v>0.367092245989305</v>
      </c>
    </row>
    <row r="327" spans="1:17">
      <c r="A327" s="10">
        <v>2015</v>
      </c>
      <c r="B327" s="10" t="s">
        <v>42</v>
      </c>
      <c r="C327" s="11">
        <v>522.952758</v>
      </c>
      <c r="D327" s="11">
        <v>911.670084</v>
      </c>
      <c r="E327" s="11">
        <v>561.445704</v>
      </c>
      <c r="F327" s="10">
        <v>5.61</v>
      </c>
      <c r="G327" s="10">
        <v>529.363478933333</v>
      </c>
      <c r="H327" s="10">
        <v>3846</v>
      </c>
      <c r="I327" s="10">
        <v>2105</v>
      </c>
      <c r="J327" s="12">
        <v>0.547321892875715</v>
      </c>
      <c r="K327" s="10">
        <v>46654</v>
      </c>
      <c r="L327" s="10">
        <v>2.95753614171527</v>
      </c>
      <c r="M327" s="10">
        <v>0.656245111404116</v>
      </c>
      <c r="N327" s="10">
        <v>11746</v>
      </c>
      <c r="O327" s="10">
        <v>8664.6</v>
      </c>
      <c r="P327" s="10">
        <v>17898.8</v>
      </c>
      <c r="Q327" s="12">
        <v>0.484088318769973</v>
      </c>
    </row>
    <row r="328" spans="1:17">
      <c r="A328" s="10">
        <v>2015</v>
      </c>
      <c r="B328" s="10" t="s">
        <v>43</v>
      </c>
      <c r="C328" s="11">
        <v>537.179733</v>
      </c>
      <c r="D328" s="11">
        <v>371.780496</v>
      </c>
      <c r="E328" s="11">
        <v>1572.406677</v>
      </c>
      <c r="F328" s="10">
        <v>2.36</v>
      </c>
      <c r="G328" s="10">
        <v>176.575300766667</v>
      </c>
      <c r="H328" s="10">
        <v>2523</v>
      </c>
      <c r="I328" s="10">
        <v>1116</v>
      </c>
      <c r="J328" s="12">
        <v>0.442330558858502</v>
      </c>
      <c r="K328" s="10">
        <v>25946</v>
      </c>
      <c r="L328" s="10">
        <v>2.69309246814914</v>
      </c>
      <c r="M328" s="10">
        <v>1.14220785163042</v>
      </c>
      <c r="N328" s="10">
        <v>7489</v>
      </c>
      <c r="O328" s="10">
        <v>2505.4</v>
      </c>
      <c r="P328" s="10">
        <v>6556.6</v>
      </c>
      <c r="Q328" s="12">
        <v>0.382118781075557</v>
      </c>
    </row>
    <row r="329" spans="1:17">
      <c r="A329" s="10">
        <v>2015</v>
      </c>
      <c r="B329" s="10" t="s">
        <v>44</v>
      </c>
      <c r="C329" s="11">
        <v>59.690205</v>
      </c>
      <c r="D329" s="11">
        <v>61.311924</v>
      </c>
      <c r="E329" s="11">
        <v>4610.515248</v>
      </c>
      <c r="F329" s="10">
        <v>0.57</v>
      </c>
      <c r="G329" s="10">
        <v>44.0512163066667</v>
      </c>
      <c r="H329" s="10">
        <v>577</v>
      </c>
      <c r="I329" s="10">
        <v>298</v>
      </c>
      <c r="J329" s="12">
        <v>0.516464471403813</v>
      </c>
      <c r="K329" s="10">
        <v>34883</v>
      </c>
      <c r="L329" s="10">
        <v>2.19051299386706</v>
      </c>
      <c r="M329" s="10">
        <v>2.05121829935356</v>
      </c>
      <c r="N329" s="10">
        <v>4125</v>
      </c>
      <c r="O329" s="10">
        <v>761.1</v>
      </c>
      <c r="P329" s="10">
        <v>2011</v>
      </c>
      <c r="Q329" s="12">
        <v>0.378468423669816</v>
      </c>
    </row>
    <row r="330" spans="1:17">
      <c r="A330" s="10">
        <v>2015</v>
      </c>
      <c r="B330" s="10" t="s">
        <v>45</v>
      </c>
      <c r="C330" s="11">
        <v>126.556605</v>
      </c>
      <c r="D330" s="11">
        <v>7.185609</v>
      </c>
      <c r="E330" s="11">
        <v>354.210048</v>
      </c>
      <c r="F330" s="10">
        <v>2.41</v>
      </c>
      <c r="G330" s="10">
        <v>193.378490473333</v>
      </c>
      <c r="H330" s="10">
        <v>684</v>
      </c>
      <c r="I330" s="10">
        <v>390</v>
      </c>
      <c r="J330" s="12">
        <v>0.570175438596491</v>
      </c>
      <c r="K330" s="10">
        <v>37876</v>
      </c>
      <c r="L330" s="10">
        <v>7.49703382466206</v>
      </c>
      <c r="M330" s="10">
        <v>2.10824222687447</v>
      </c>
      <c r="N330" s="10">
        <v>5438</v>
      </c>
      <c r="O330" s="10">
        <v>1116.8</v>
      </c>
      <c r="P330" s="10">
        <v>2579.4</v>
      </c>
      <c r="Q330" s="12">
        <v>0.432968907497868</v>
      </c>
    </row>
    <row r="331" spans="1:17">
      <c r="A331" s="10">
        <v>2015</v>
      </c>
      <c r="B331" s="10" t="s">
        <v>46</v>
      </c>
      <c r="C331" s="11">
        <v>866.195433</v>
      </c>
      <c r="D331" s="11">
        <v>177.967908</v>
      </c>
      <c r="E331" s="11">
        <v>3805.741116</v>
      </c>
      <c r="F331" s="10">
        <v>6.08</v>
      </c>
      <c r="G331" s="10">
        <v>379.091800073333</v>
      </c>
      <c r="H331" s="10">
        <v>2385</v>
      </c>
      <c r="I331" s="10">
        <v>1163</v>
      </c>
      <c r="J331" s="12">
        <v>0.487631027253669</v>
      </c>
      <c r="K331" s="10">
        <v>39520</v>
      </c>
      <c r="L331" s="10">
        <v>4.07323383804847</v>
      </c>
      <c r="M331" s="10">
        <v>1.68326725332818</v>
      </c>
      <c r="N331" s="10">
        <v>15666</v>
      </c>
      <c r="O331" s="10">
        <v>3446.1</v>
      </c>
      <c r="P331" s="10">
        <v>9306.9</v>
      </c>
      <c r="Q331" s="12">
        <v>0.370273667923798</v>
      </c>
    </row>
    <row r="332" spans="1:17">
      <c r="A332" s="10">
        <v>2016</v>
      </c>
      <c r="B332" s="10" t="s">
        <v>17</v>
      </c>
      <c r="C332" s="11">
        <v>43.045704</v>
      </c>
      <c r="D332" s="11">
        <v>79.382403</v>
      </c>
      <c r="E332" s="11">
        <v>4.165614</v>
      </c>
      <c r="F332" s="10">
        <v>8.21</v>
      </c>
      <c r="G332" s="10">
        <v>74.94444947387</v>
      </c>
      <c r="H332" s="10">
        <v>2195</v>
      </c>
      <c r="I332" s="10">
        <v>1904</v>
      </c>
      <c r="J332" s="12">
        <v>0.867425968109339</v>
      </c>
      <c r="K332" s="10">
        <v>123391</v>
      </c>
      <c r="L332" s="10">
        <v>0.277149126051618</v>
      </c>
      <c r="M332" s="10">
        <v>0.2557948611748</v>
      </c>
      <c r="N332" s="10">
        <v>6917</v>
      </c>
      <c r="O332" s="10">
        <v>4665.8</v>
      </c>
      <c r="P332" s="10">
        <v>27041.2</v>
      </c>
      <c r="Q332" s="12">
        <v>0.172544117864592</v>
      </c>
    </row>
    <row r="333" spans="1:17">
      <c r="A333" s="10">
        <v>2016</v>
      </c>
      <c r="B333" s="10" t="s">
        <v>18</v>
      </c>
      <c r="C333" s="11">
        <v>62.943489</v>
      </c>
      <c r="D333" s="11">
        <v>3.578859</v>
      </c>
      <c r="E333" s="11">
        <v>0.24957</v>
      </c>
      <c r="F333" s="10">
        <v>3.34</v>
      </c>
      <c r="G333" s="10">
        <v>130.352252326667</v>
      </c>
      <c r="H333" s="10">
        <v>1443</v>
      </c>
      <c r="I333" s="10">
        <v>1202</v>
      </c>
      <c r="J333" s="12">
        <v>0.832986832986833</v>
      </c>
      <c r="K333" s="10">
        <v>79647</v>
      </c>
      <c r="L333" s="10">
        <v>1.13574959333868</v>
      </c>
      <c r="M333" s="10">
        <v>0.703830202488412</v>
      </c>
      <c r="N333" s="10">
        <v>8078</v>
      </c>
      <c r="O333" s="10">
        <v>4368</v>
      </c>
      <c r="P333" s="10">
        <v>11477.2</v>
      </c>
      <c r="Q333" s="12">
        <v>0.38058062942181</v>
      </c>
    </row>
    <row r="334" spans="1:17">
      <c r="A334" s="10">
        <v>2016</v>
      </c>
      <c r="B334" s="10" t="s">
        <v>19</v>
      </c>
      <c r="C334" s="11">
        <v>837.555417</v>
      </c>
      <c r="D334" s="11">
        <v>439.36101</v>
      </c>
      <c r="E334" s="11">
        <v>341.359578</v>
      </c>
      <c r="F334" s="10">
        <v>8.54</v>
      </c>
      <c r="G334" s="10">
        <v>614.569473046667</v>
      </c>
      <c r="H334" s="10">
        <v>7375</v>
      </c>
      <c r="I334" s="10">
        <v>3973</v>
      </c>
      <c r="J334" s="12">
        <v>0.53871186440678</v>
      </c>
      <c r="K334" s="10">
        <v>38688</v>
      </c>
      <c r="L334" s="10">
        <v>2.15834555981284</v>
      </c>
      <c r="M334" s="10">
        <v>1.10479347898617</v>
      </c>
      <c r="N334" s="10">
        <v>31458</v>
      </c>
      <c r="O334" s="10">
        <v>12332.3</v>
      </c>
      <c r="P334" s="10">
        <v>28474.1</v>
      </c>
      <c r="Q334" s="12">
        <v>0.433105875163745</v>
      </c>
    </row>
    <row r="335" spans="1:17">
      <c r="A335" s="10">
        <v>2016</v>
      </c>
      <c r="B335" s="10" t="s">
        <v>20</v>
      </c>
      <c r="C335" s="11">
        <v>552.378321</v>
      </c>
      <c r="D335" s="11">
        <v>385.114041</v>
      </c>
      <c r="E335" s="11">
        <v>537.179193</v>
      </c>
      <c r="F335" s="10">
        <v>4.3</v>
      </c>
      <c r="G335" s="10">
        <v>1433.11443337333</v>
      </c>
      <c r="H335" s="10">
        <v>3514</v>
      </c>
      <c r="I335" s="10">
        <v>2012</v>
      </c>
      <c r="J335" s="12">
        <v>0.57256687535572</v>
      </c>
      <c r="K335" s="10">
        <v>33972</v>
      </c>
      <c r="L335" s="10">
        <v>11.9962033196053</v>
      </c>
      <c r="M335" s="10">
        <v>1.58826089868077</v>
      </c>
      <c r="N335" s="10">
        <v>18974</v>
      </c>
      <c r="O335" s="10">
        <v>5113.6</v>
      </c>
      <c r="P335" s="10">
        <v>11946.4</v>
      </c>
      <c r="Q335" s="12">
        <v>0.428045268867609</v>
      </c>
    </row>
    <row r="336" spans="1:17">
      <c r="A336" s="10">
        <v>2016</v>
      </c>
      <c r="B336" s="10" t="s">
        <v>21</v>
      </c>
      <c r="C336" s="11">
        <v>1390.509333</v>
      </c>
      <c r="D336" s="11">
        <v>1782.5166</v>
      </c>
      <c r="E336" s="11">
        <v>5466.90096</v>
      </c>
      <c r="F336" s="10">
        <v>6.56</v>
      </c>
      <c r="G336" s="10">
        <v>754.615166564893</v>
      </c>
      <c r="H336" s="10">
        <v>2436</v>
      </c>
      <c r="I336" s="10">
        <v>1544</v>
      </c>
      <c r="J336" s="12">
        <v>0.633825944170772</v>
      </c>
      <c r="K336" s="10">
        <v>56560</v>
      </c>
      <c r="L336" s="10">
        <v>5.47246899091972</v>
      </c>
      <c r="M336" s="10">
        <v>1.400361149587</v>
      </c>
      <c r="N336" s="10">
        <v>19310</v>
      </c>
      <c r="O336" s="10">
        <v>5579.8</v>
      </c>
      <c r="P336" s="10">
        <v>13789.3</v>
      </c>
      <c r="Q336" s="12">
        <v>0.404647081432705</v>
      </c>
    </row>
    <row r="337" spans="1:17">
      <c r="A337" s="10">
        <v>2016</v>
      </c>
      <c r="B337" s="10" t="s">
        <v>22</v>
      </c>
      <c r="C337" s="11">
        <v>713.456415</v>
      </c>
      <c r="D337" s="11">
        <v>514.265922</v>
      </c>
      <c r="E337" s="11">
        <v>63.595053</v>
      </c>
      <c r="F337" s="10">
        <v>11.66</v>
      </c>
      <c r="G337" s="10">
        <v>508.94331232</v>
      </c>
      <c r="H337" s="10">
        <v>4327</v>
      </c>
      <c r="I337" s="10">
        <v>2980</v>
      </c>
      <c r="J337" s="12">
        <v>0.688698867575688</v>
      </c>
      <c r="K337" s="10">
        <v>47069</v>
      </c>
      <c r="L337" s="10">
        <v>2.4957377090597</v>
      </c>
      <c r="M337" s="10">
        <v>1.0222876057374</v>
      </c>
      <c r="N337" s="10">
        <v>20847</v>
      </c>
      <c r="O337" s="10">
        <v>7865.7</v>
      </c>
      <c r="P337" s="10">
        <v>20392.5</v>
      </c>
      <c r="Q337" s="12">
        <v>0.38571533652078</v>
      </c>
    </row>
    <row r="338" spans="1:17">
      <c r="A338" s="10">
        <v>2016</v>
      </c>
      <c r="B338" s="10" t="s">
        <v>23</v>
      </c>
      <c r="C338" s="11">
        <v>899.109117</v>
      </c>
      <c r="D338" s="11">
        <v>818.030079</v>
      </c>
      <c r="E338" s="11">
        <v>57.092796</v>
      </c>
      <c r="F338" s="10">
        <v>4.66</v>
      </c>
      <c r="G338" s="10">
        <v>214.183232413333</v>
      </c>
      <c r="H338" s="10">
        <v>2567</v>
      </c>
      <c r="I338" s="10">
        <v>1508</v>
      </c>
      <c r="J338" s="12">
        <v>0.587456174522789</v>
      </c>
      <c r="K338" s="10">
        <v>40259</v>
      </c>
      <c r="L338" s="10">
        <v>2.05412134279595</v>
      </c>
      <c r="M338" s="10">
        <v>0.660400882324734</v>
      </c>
      <c r="N338" s="10">
        <v>6886</v>
      </c>
      <c r="O338" s="10">
        <v>3901.4</v>
      </c>
      <c r="P338" s="10">
        <v>10427</v>
      </c>
      <c r="Q338" s="12">
        <v>0.374163230075765</v>
      </c>
    </row>
    <row r="339" spans="1:17">
      <c r="A339" s="10">
        <v>2016</v>
      </c>
      <c r="B339" s="10" t="s">
        <v>24</v>
      </c>
      <c r="C339" s="11">
        <v>2035.890756</v>
      </c>
      <c r="D339" s="11">
        <v>2216.598435</v>
      </c>
      <c r="E339" s="11">
        <v>70.686468</v>
      </c>
      <c r="F339" s="10">
        <v>7.7</v>
      </c>
      <c r="G339" s="10">
        <v>365.373583146667</v>
      </c>
      <c r="H339" s="10">
        <v>3463</v>
      </c>
      <c r="I339" s="10">
        <v>2116</v>
      </c>
      <c r="J339" s="12">
        <v>0.611030898065261</v>
      </c>
      <c r="K339" s="10">
        <v>34025</v>
      </c>
      <c r="L339" s="10">
        <v>3.07165685705479</v>
      </c>
      <c r="M339" s="10">
        <v>0.930643127364439</v>
      </c>
      <c r="N339" s="10">
        <v>11070</v>
      </c>
      <c r="O339" s="10">
        <v>3689.7</v>
      </c>
      <c r="P339" s="10">
        <v>11895</v>
      </c>
      <c r="Q339" s="12">
        <v>0.310189155107188</v>
      </c>
    </row>
    <row r="340" spans="1:17">
      <c r="A340" s="10">
        <v>2016</v>
      </c>
      <c r="B340" s="10" t="s">
        <v>25</v>
      </c>
      <c r="C340" s="11">
        <v>42.801705</v>
      </c>
      <c r="D340" s="11">
        <v>0.113031</v>
      </c>
      <c r="E340" s="11">
        <v>0.003834</v>
      </c>
      <c r="F340" s="10">
        <v>12.88</v>
      </c>
      <c r="G340" s="10">
        <v>158.225226386667</v>
      </c>
      <c r="H340" s="10">
        <v>2467</v>
      </c>
      <c r="I340" s="10">
        <v>2196</v>
      </c>
      <c r="J340" s="12">
        <v>0.890149979732469</v>
      </c>
      <c r="K340" s="10">
        <v>121369</v>
      </c>
      <c r="L340" s="10">
        <v>0.529411538082332</v>
      </c>
      <c r="M340" s="10">
        <v>0.37615016562385</v>
      </c>
      <c r="N340" s="10">
        <v>11242</v>
      </c>
      <c r="O340" s="10">
        <v>8570.2</v>
      </c>
      <c r="P340" s="10">
        <v>29887</v>
      </c>
      <c r="Q340" s="12">
        <v>0.28675343794961</v>
      </c>
    </row>
    <row r="341" spans="1:17">
      <c r="A341" s="10">
        <v>2016</v>
      </c>
      <c r="B341" s="10" t="s">
        <v>26</v>
      </c>
      <c r="C341" s="11">
        <v>705.428883</v>
      </c>
      <c r="D341" s="11">
        <v>16.908687</v>
      </c>
      <c r="E341" s="11">
        <v>0.084267</v>
      </c>
      <c r="F341" s="10">
        <v>28.19</v>
      </c>
      <c r="G341" s="10">
        <v>653.116844646667</v>
      </c>
      <c r="H341" s="10">
        <v>8381</v>
      </c>
      <c r="I341" s="10">
        <v>5777</v>
      </c>
      <c r="J341" s="12">
        <v>0.68929721990216</v>
      </c>
      <c r="K341" s="10">
        <v>92658</v>
      </c>
      <c r="L341" s="10">
        <v>0.8443558441423</v>
      </c>
      <c r="M341" s="10">
        <v>0.403485932290381</v>
      </c>
      <c r="N341" s="10">
        <v>31210</v>
      </c>
      <c r="O341" s="10">
        <v>35041.5</v>
      </c>
      <c r="P341" s="10">
        <v>77350.9</v>
      </c>
      <c r="Q341" s="12">
        <v>0.453019939005235</v>
      </c>
    </row>
    <row r="342" spans="1:17">
      <c r="A342" s="10">
        <v>2016</v>
      </c>
      <c r="B342" s="10" t="s">
        <v>27</v>
      </c>
      <c r="C342" s="11">
        <v>243.846558</v>
      </c>
      <c r="D342" s="11">
        <v>674.612487</v>
      </c>
      <c r="E342" s="11">
        <v>0.145638</v>
      </c>
      <c r="F342" s="10">
        <v>15.43</v>
      </c>
      <c r="G342" s="10">
        <v>379.176537352796</v>
      </c>
      <c r="H342" s="10">
        <v>6072</v>
      </c>
      <c r="I342" s="10">
        <v>4112</v>
      </c>
      <c r="J342" s="12">
        <v>0.677206851119895</v>
      </c>
      <c r="K342" s="10">
        <v>78384</v>
      </c>
      <c r="L342" s="10">
        <v>0.802422096230576</v>
      </c>
      <c r="M342" s="10">
        <v>0.429085368434418</v>
      </c>
      <c r="N342" s="10">
        <v>20276</v>
      </c>
      <c r="O342" s="10">
        <v>21571.3</v>
      </c>
      <c r="P342" s="10">
        <v>47254</v>
      </c>
      <c r="Q342" s="12">
        <v>0.456496804503322</v>
      </c>
    </row>
    <row r="343" spans="1:17">
      <c r="A343" s="10">
        <v>2016</v>
      </c>
      <c r="B343" s="10" t="s">
        <v>28</v>
      </c>
      <c r="C343" s="11">
        <v>834.779988</v>
      </c>
      <c r="D343" s="11">
        <v>369.450423</v>
      </c>
      <c r="E343" s="11">
        <v>0.695844</v>
      </c>
      <c r="F343" s="10">
        <v>9.86</v>
      </c>
      <c r="G343" s="10">
        <v>380.177314681809</v>
      </c>
      <c r="H343" s="10">
        <v>6033</v>
      </c>
      <c r="I343" s="10">
        <v>3175</v>
      </c>
      <c r="J343" s="12">
        <v>0.526272169733134</v>
      </c>
      <c r="K343" s="10">
        <v>43686</v>
      </c>
      <c r="L343" s="10">
        <v>1.44511802507178</v>
      </c>
      <c r="M343" s="10">
        <v>0.481341964519893</v>
      </c>
      <c r="N343" s="10">
        <v>12663</v>
      </c>
      <c r="O343" s="10">
        <v>11517.5</v>
      </c>
      <c r="P343" s="10">
        <v>26307.7</v>
      </c>
      <c r="Q343" s="12">
        <v>0.437799579590766</v>
      </c>
    </row>
    <row r="344" spans="1:17">
      <c r="A344" s="10">
        <v>2016</v>
      </c>
      <c r="B344" s="10" t="s">
        <v>29</v>
      </c>
      <c r="C344" s="11">
        <v>159.479676</v>
      </c>
      <c r="D344" s="11">
        <v>1007.480835</v>
      </c>
      <c r="E344" s="11">
        <v>0.638055</v>
      </c>
      <c r="F344" s="10">
        <v>6.72</v>
      </c>
      <c r="G344" s="10">
        <v>217.151739306667</v>
      </c>
      <c r="H344" s="10">
        <v>4016</v>
      </c>
      <c r="I344" s="10">
        <v>2586</v>
      </c>
      <c r="J344" s="12">
        <v>0.643924302788845</v>
      </c>
      <c r="K344" s="10">
        <v>74024</v>
      </c>
      <c r="L344" s="10">
        <v>0.733387840708243</v>
      </c>
      <c r="M344" s="10">
        <v>0.406492532776753</v>
      </c>
      <c r="N344" s="10">
        <v>12036</v>
      </c>
      <c r="O344" s="10">
        <v>14683.7</v>
      </c>
      <c r="P344" s="10">
        <v>29609.4</v>
      </c>
      <c r="Q344" s="12">
        <v>0.495913459914757</v>
      </c>
    </row>
    <row r="345" spans="1:17">
      <c r="A345" s="10">
        <v>2016</v>
      </c>
      <c r="B345" s="10" t="s">
        <v>30</v>
      </c>
      <c r="C345" s="11">
        <v>481.482387</v>
      </c>
      <c r="D345" s="11">
        <v>1071.24192</v>
      </c>
      <c r="E345" s="11">
        <v>0.807111</v>
      </c>
      <c r="F345" s="10">
        <v>5.68</v>
      </c>
      <c r="G345" s="10">
        <v>176.67199088</v>
      </c>
      <c r="H345" s="10">
        <v>4496</v>
      </c>
      <c r="I345" s="10">
        <v>2427</v>
      </c>
      <c r="J345" s="12">
        <v>0.539813167259786</v>
      </c>
      <c r="K345" s="10">
        <v>40950</v>
      </c>
      <c r="L345" s="10">
        <v>0.960769122608573</v>
      </c>
      <c r="M345" s="10">
        <v>0.474750660735456</v>
      </c>
      <c r="N345" s="10">
        <v>8730</v>
      </c>
      <c r="O345" s="10">
        <v>8732.5</v>
      </c>
      <c r="P345" s="10">
        <v>18388.6</v>
      </c>
      <c r="Q345" s="12">
        <v>0.474886614532917</v>
      </c>
    </row>
    <row r="346" spans="1:17">
      <c r="A346" s="10">
        <v>2016</v>
      </c>
      <c r="B346" s="10" t="s">
        <v>31</v>
      </c>
      <c r="C346" s="11">
        <v>1081.220076</v>
      </c>
      <c r="D346" s="11">
        <v>75.493413</v>
      </c>
      <c r="E346" s="11">
        <v>27.896814</v>
      </c>
      <c r="F346" s="10">
        <v>22.58</v>
      </c>
      <c r="G346" s="10">
        <v>1096.71967391264</v>
      </c>
      <c r="H346" s="10">
        <v>9973</v>
      </c>
      <c r="I346" s="10">
        <v>5897</v>
      </c>
      <c r="J346" s="12">
        <v>0.591296500551489</v>
      </c>
      <c r="K346" s="10">
        <v>59239</v>
      </c>
      <c r="L346" s="10">
        <v>1.86635979393769</v>
      </c>
      <c r="M346" s="10">
        <v>0.683054669219315</v>
      </c>
      <c r="N346" s="10">
        <v>40138</v>
      </c>
      <c r="O346" s="10">
        <v>25565</v>
      </c>
      <c r="P346" s="10">
        <v>58762.5</v>
      </c>
      <c r="Q346" s="12">
        <v>0.435056370984897</v>
      </c>
    </row>
    <row r="347" spans="1:17">
      <c r="A347" s="10">
        <v>2016</v>
      </c>
      <c r="B347" s="10" t="s">
        <v>32</v>
      </c>
      <c r="C347" s="11">
        <v>1096.249527</v>
      </c>
      <c r="D347" s="11">
        <v>290.890278</v>
      </c>
      <c r="E347" s="11">
        <v>26.376993</v>
      </c>
      <c r="F347" s="10">
        <v>9.54</v>
      </c>
      <c r="G347" s="10">
        <v>536.838775168983</v>
      </c>
      <c r="H347" s="10">
        <v>9778</v>
      </c>
      <c r="I347" s="10">
        <v>4770</v>
      </c>
      <c r="J347" s="12">
        <v>0.487829822049499</v>
      </c>
      <c r="K347" s="10">
        <v>41326</v>
      </c>
      <c r="L347" s="10">
        <v>1.33378412834256</v>
      </c>
      <c r="M347" s="10">
        <v>0.554618341188542</v>
      </c>
      <c r="N347" s="10">
        <v>22323</v>
      </c>
      <c r="O347" s="10">
        <v>18986.9</v>
      </c>
      <c r="P347" s="10">
        <v>40249.3</v>
      </c>
      <c r="Q347" s="12">
        <v>0.471732427644704</v>
      </c>
    </row>
    <row r="348" spans="1:17">
      <c r="A348" s="10">
        <v>2016</v>
      </c>
      <c r="B348" s="10" t="s">
        <v>33</v>
      </c>
      <c r="C348" s="11">
        <v>814.897485</v>
      </c>
      <c r="D348" s="11">
        <v>904.887711</v>
      </c>
      <c r="E348" s="11">
        <v>2.876229</v>
      </c>
      <c r="F348" s="10">
        <v>8.22</v>
      </c>
      <c r="G348" s="10">
        <v>253.98360879895</v>
      </c>
      <c r="H348" s="10">
        <v>5885</v>
      </c>
      <c r="I348" s="10">
        <v>3447</v>
      </c>
      <c r="J348" s="12">
        <v>0.585726423109601</v>
      </c>
      <c r="K348" s="10">
        <v>56844</v>
      </c>
      <c r="L348" s="10">
        <v>0.761501540487962</v>
      </c>
      <c r="M348" s="10">
        <v>0.476628789014481</v>
      </c>
      <c r="N348" s="10">
        <v>15897</v>
      </c>
      <c r="O348" s="10">
        <v>14527</v>
      </c>
      <c r="P348" s="10">
        <v>33353</v>
      </c>
      <c r="Q348" s="12">
        <v>0.435553023716008</v>
      </c>
    </row>
    <row r="349" spans="1:17">
      <c r="A349" s="10">
        <v>2016</v>
      </c>
      <c r="B349" s="10" t="s">
        <v>34</v>
      </c>
      <c r="C349" s="11">
        <v>719.974431</v>
      </c>
      <c r="D349" s="11">
        <v>1304.762274</v>
      </c>
      <c r="E349" s="11">
        <v>0.652419</v>
      </c>
      <c r="F349" s="10">
        <v>6.15</v>
      </c>
      <c r="G349" s="10">
        <v>265.505298729077</v>
      </c>
      <c r="H349" s="10">
        <v>6625</v>
      </c>
      <c r="I349" s="10">
        <v>3491</v>
      </c>
      <c r="J349" s="12">
        <v>0.526943396226415</v>
      </c>
      <c r="K349" s="10">
        <v>46606</v>
      </c>
      <c r="L349" s="10">
        <v>0.860535429462061</v>
      </c>
      <c r="M349" s="10">
        <v>0.481144764775471</v>
      </c>
      <c r="N349" s="10">
        <v>14845</v>
      </c>
      <c r="O349" s="10">
        <v>12942</v>
      </c>
      <c r="P349" s="10">
        <v>30853.5</v>
      </c>
      <c r="Q349" s="12">
        <v>0.419466186980407</v>
      </c>
    </row>
    <row r="350" spans="1:17">
      <c r="A350" s="10">
        <v>2016</v>
      </c>
      <c r="B350" s="10" t="s">
        <v>35</v>
      </c>
      <c r="C350" s="11">
        <v>458.698149</v>
      </c>
      <c r="D350" s="11">
        <v>1153.736712</v>
      </c>
      <c r="E350" s="11">
        <v>1.480032</v>
      </c>
      <c r="F350" s="10">
        <v>45.27</v>
      </c>
      <c r="G350" s="10">
        <v>506.8626115</v>
      </c>
      <c r="H350" s="10">
        <v>11908</v>
      </c>
      <c r="I350" s="10">
        <v>8353</v>
      </c>
      <c r="J350" s="12">
        <v>0.701461202552906</v>
      </c>
      <c r="K350" s="10">
        <v>69671</v>
      </c>
      <c r="L350" s="10">
        <v>0.616897359766903</v>
      </c>
      <c r="M350" s="10">
        <v>0.379865925377785</v>
      </c>
      <c r="N350" s="10">
        <v>31211</v>
      </c>
      <c r="O350" s="10">
        <v>35499.2</v>
      </c>
      <c r="P350" s="10">
        <v>82163.2</v>
      </c>
      <c r="Q350" s="12">
        <v>0.432057174014644</v>
      </c>
    </row>
    <row r="351" spans="1:17">
      <c r="A351" s="10">
        <v>2016</v>
      </c>
      <c r="B351" s="10" t="s">
        <v>36</v>
      </c>
      <c r="C351" s="11">
        <v>571.155228</v>
      </c>
      <c r="D351" s="11">
        <v>1685.572839</v>
      </c>
      <c r="E351" s="11">
        <v>1.831401</v>
      </c>
      <c r="F351" s="10">
        <v>8.45</v>
      </c>
      <c r="G351" s="10">
        <v>182.47862422</v>
      </c>
      <c r="H351" s="10">
        <v>4857</v>
      </c>
      <c r="I351" s="10">
        <v>2392</v>
      </c>
      <c r="J351" s="12">
        <v>0.492485073090385</v>
      </c>
      <c r="K351" s="10">
        <v>33340</v>
      </c>
      <c r="L351" s="10">
        <v>1.13224020091086</v>
      </c>
      <c r="M351" s="10">
        <v>0.6273035255575</v>
      </c>
      <c r="N351" s="10">
        <v>10110</v>
      </c>
      <c r="O351" s="10">
        <v>5621</v>
      </c>
      <c r="P351" s="10">
        <v>16116.6</v>
      </c>
      <c r="Q351" s="12">
        <v>0.348770832557735</v>
      </c>
    </row>
    <row r="352" spans="1:17">
      <c r="A352" s="10">
        <v>2016</v>
      </c>
      <c r="B352" s="10" t="s">
        <v>37</v>
      </c>
      <c r="C352" s="11">
        <v>98.388882</v>
      </c>
      <c r="D352" s="11">
        <v>228.193866</v>
      </c>
      <c r="E352" s="11">
        <v>0.294021</v>
      </c>
      <c r="F352" s="10">
        <v>1.53</v>
      </c>
      <c r="G352" s="10">
        <v>62.2554520266667</v>
      </c>
      <c r="H352" s="10">
        <v>957</v>
      </c>
      <c r="I352" s="10">
        <v>543</v>
      </c>
      <c r="J352" s="12">
        <v>0.567398119122257</v>
      </c>
      <c r="K352" s="10">
        <v>43009</v>
      </c>
      <c r="L352" s="10">
        <v>1.52206376281518</v>
      </c>
      <c r="M352" s="10">
        <v>0.485061855166007</v>
      </c>
      <c r="N352" s="10">
        <v>1984</v>
      </c>
      <c r="O352" s="10">
        <v>904</v>
      </c>
      <c r="P352" s="10">
        <v>4090.2</v>
      </c>
      <c r="Q352" s="12">
        <v>0.221016087232898</v>
      </c>
    </row>
    <row r="353" spans="1:17">
      <c r="A353" s="10">
        <v>2016</v>
      </c>
      <c r="B353" s="10" t="s">
        <v>38</v>
      </c>
      <c r="C353" s="11">
        <v>363.673431</v>
      </c>
      <c r="D353" s="11">
        <v>430.703613</v>
      </c>
      <c r="E353" s="11">
        <v>0.791532</v>
      </c>
      <c r="F353" s="10">
        <v>5.98</v>
      </c>
      <c r="G353" s="10">
        <v>142.181866015913</v>
      </c>
      <c r="H353" s="10">
        <v>3110</v>
      </c>
      <c r="I353" s="10">
        <v>1970</v>
      </c>
      <c r="J353" s="12">
        <v>0.633440514469453</v>
      </c>
      <c r="K353" s="10">
        <v>58327</v>
      </c>
      <c r="L353" s="10">
        <v>0.788891227963787</v>
      </c>
      <c r="M353" s="10">
        <v>0.442878544082561</v>
      </c>
      <c r="N353" s="10">
        <v>7982</v>
      </c>
      <c r="O353" s="10">
        <v>7765.4</v>
      </c>
      <c r="P353" s="10">
        <v>18023</v>
      </c>
      <c r="Q353" s="12">
        <v>0.43086056705321</v>
      </c>
    </row>
    <row r="354" spans="1:17">
      <c r="A354" s="10">
        <v>2016</v>
      </c>
      <c r="B354" s="10" t="s">
        <v>39</v>
      </c>
      <c r="C354" s="11">
        <v>1146.806784</v>
      </c>
      <c r="D354" s="11">
        <v>1927.794609</v>
      </c>
      <c r="E354" s="11">
        <v>1617.809202</v>
      </c>
      <c r="F354" s="10">
        <v>10.06</v>
      </c>
      <c r="G354" s="10">
        <v>250.138551726667</v>
      </c>
      <c r="H354" s="10">
        <v>8251</v>
      </c>
      <c r="I354" s="10">
        <v>4126</v>
      </c>
      <c r="J354" s="12">
        <v>0.500060598715307</v>
      </c>
      <c r="K354" s="10">
        <v>40297</v>
      </c>
      <c r="L354" s="10">
        <v>0.754827622634297</v>
      </c>
      <c r="M354" s="10">
        <v>0.56598820103505</v>
      </c>
      <c r="N354" s="10">
        <v>18756</v>
      </c>
      <c r="O354" s="10">
        <v>13450.1</v>
      </c>
      <c r="P354" s="10">
        <v>33138.5</v>
      </c>
      <c r="Q354" s="12">
        <v>0.405875341370309</v>
      </c>
    </row>
    <row r="355" spans="1:17">
      <c r="A355" s="10">
        <v>2016</v>
      </c>
      <c r="B355" s="10" t="s">
        <v>40</v>
      </c>
      <c r="C355" s="11">
        <v>606.622266</v>
      </c>
      <c r="D355" s="11">
        <v>1053.593901</v>
      </c>
      <c r="E355" s="11">
        <v>25.395822</v>
      </c>
      <c r="F355" s="10">
        <v>4.08</v>
      </c>
      <c r="G355" s="10">
        <v>348.35636776</v>
      </c>
      <c r="H355" s="10">
        <v>3758</v>
      </c>
      <c r="I355" s="10">
        <v>1712</v>
      </c>
      <c r="J355" s="12">
        <v>0.455561468866418</v>
      </c>
      <c r="K355" s="10">
        <v>31589</v>
      </c>
      <c r="L355" s="10">
        <v>2.95407523286184</v>
      </c>
      <c r="M355" s="10">
        <v>0.814592449374173</v>
      </c>
      <c r="N355" s="10">
        <v>9606</v>
      </c>
      <c r="O355" s="10">
        <v>4468.7</v>
      </c>
      <c r="P355" s="10">
        <v>11792.4</v>
      </c>
      <c r="Q355" s="12">
        <v>0.37894745768461</v>
      </c>
    </row>
    <row r="356" spans="1:17">
      <c r="A356" s="10">
        <v>2016</v>
      </c>
      <c r="B356" s="10" t="s">
        <v>41</v>
      </c>
      <c r="C356" s="11">
        <v>818.814762</v>
      </c>
      <c r="D356" s="11">
        <v>2624.403411</v>
      </c>
      <c r="E356" s="11">
        <v>248.448924</v>
      </c>
      <c r="F356" s="10">
        <v>4.31</v>
      </c>
      <c r="G356" s="10">
        <v>184.537025003952</v>
      </c>
      <c r="H356" s="10">
        <v>4677</v>
      </c>
      <c r="I356" s="10">
        <v>2088</v>
      </c>
      <c r="J356" s="12">
        <v>0.446440025657473</v>
      </c>
      <c r="K356" s="10">
        <v>35051</v>
      </c>
      <c r="L356" s="10">
        <v>1.12735674142557</v>
      </c>
      <c r="M356" s="10">
        <v>0.655262997128719</v>
      </c>
      <c r="N356" s="10">
        <v>10726</v>
      </c>
      <c r="O356" s="10">
        <v>5747.4</v>
      </c>
      <c r="P356" s="10">
        <v>16369</v>
      </c>
      <c r="Q356" s="12">
        <v>0.35111491233429</v>
      </c>
    </row>
    <row r="357" spans="1:17">
      <c r="A357" s="10">
        <v>2016</v>
      </c>
      <c r="B357" s="10" t="s">
        <v>42</v>
      </c>
      <c r="C357" s="11">
        <v>518.591223</v>
      </c>
      <c r="D357" s="11">
        <v>916.636563</v>
      </c>
      <c r="E357" s="11">
        <v>560.089431</v>
      </c>
      <c r="F357" s="10">
        <v>5.87</v>
      </c>
      <c r="G357" s="10">
        <v>590.052034611917</v>
      </c>
      <c r="H357" s="10">
        <v>3874</v>
      </c>
      <c r="I357" s="10">
        <v>2185</v>
      </c>
      <c r="J357" s="12">
        <v>0.564016520392359</v>
      </c>
      <c r="K357" s="10">
        <v>49341</v>
      </c>
      <c r="L357" s="10">
        <v>3.09806904730658</v>
      </c>
      <c r="M357" s="10">
        <v>0.63772590282372</v>
      </c>
      <c r="N357" s="10">
        <v>12146</v>
      </c>
      <c r="O357" s="10">
        <v>8906.5</v>
      </c>
      <c r="P357" s="10">
        <v>19045.8</v>
      </c>
      <c r="Q357" s="12">
        <v>0.467635909229331</v>
      </c>
    </row>
    <row r="358" spans="1:17">
      <c r="A358" s="10">
        <v>2016</v>
      </c>
      <c r="B358" s="10" t="s">
        <v>43</v>
      </c>
      <c r="C358" s="11">
        <v>528.210621</v>
      </c>
      <c r="D358" s="11">
        <v>374.836455</v>
      </c>
      <c r="E358" s="11">
        <v>1577.709072</v>
      </c>
      <c r="F358" s="10">
        <v>2.63</v>
      </c>
      <c r="G358" s="10">
        <v>169.7165295</v>
      </c>
      <c r="H358" s="10">
        <v>2520</v>
      </c>
      <c r="I358" s="10">
        <v>1161</v>
      </c>
      <c r="J358" s="12">
        <v>0.460714285714286</v>
      </c>
      <c r="K358" s="10">
        <v>27396</v>
      </c>
      <c r="L358" s="10">
        <v>2.45684693611662</v>
      </c>
      <c r="M358" s="10">
        <v>1.05676109961059</v>
      </c>
      <c r="N358" s="10">
        <v>7300</v>
      </c>
      <c r="O358" s="10">
        <v>2483.5</v>
      </c>
      <c r="P358" s="10">
        <v>6907.9</v>
      </c>
      <c r="Q358" s="12">
        <v>0.359515916559302</v>
      </c>
    </row>
    <row r="359" spans="1:17">
      <c r="A359" s="10">
        <v>2016</v>
      </c>
      <c r="B359" s="10" t="s">
        <v>44</v>
      </c>
      <c r="C359" s="11">
        <v>57.026655</v>
      </c>
      <c r="D359" s="11">
        <v>61.781373</v>
      </c>
      <c r="E359" s="11">
        <v>4615.988175</v>
      </c>
      <c r="F359" s="10">
        <v>0.62</v>
      </c>
      <c r="G359" s="10">
        <v>53.1516476166667</v>
      </c>
      <c r="H359" s="10">
        <v>582</v>
      </c>
      <c r="I359" s="10">
        <v>312</v>
      </c>
      <c r="J359" s="12">
        <v>0.536082474226804</v>
      </c>
      <c r="K359" s="10">
        <v>38968</v>
      </c>
      <c r="L359" s="10">
        <v>2.35371745711924</v>
      </c>
      <c r="M359" s="10">
        <v>1.81604817996635</v>
      </c>
      <c r="N359" s="10">
        <v>4101</v>
      </c>
      <c r="O359" s="10">
        <v>867.7</v>
      </c>
      <c r="P359" s="10">
        <v>2258.2</v>
      </c>
      <c r="Q359" s="12">
        <v>0.38424408821185</v>
      </c>
    </row>
    <row r="360" spans="1:17">
      <c r="A360" s="10">
        <v>2016</v>
      </c>
      <c r="B360" s="10" t="s">
        <v>45</v>
      </c>
      <c r="C360" s="11">
        <v>127.694601</v>
      </c>
      <c r="D360" s="11">
        <v>7.31853</v>
      </c>
      <c r="E360" s="11">
        <v>353.560923</v>
      </c>
      <c r="F360" s="10">
        <v>2.51</v>
      </c>
      <c r="G360" s="10">
        <v>189.717234268763</v>
      </c>
      <c r="H360" s="10">
        <v>695</v>
      </c>
      <c r="I360" s="10">
        <v>408</v>
      </c>
      <c r="J360" s="12">
        <v>0.58705035971223</v>
      </c>
      <c r="K360" s="10">
        <v>40339</v>
      </c>
      <c r="L360" s="10">
        <v>6.82092594624158</v>
      </c>
      <c r="M360" s="10">
        <v>2.01013877903214</v>
      </c>
      <c r="N360" s="10">
        <v>5591</v>
      </c>
      <c r="O360" s="10">
        <v>1179.7</v>
      </c>
      <c r="P360" s="10">
        <v>2781.4</v>
      </c>
      <c r="Q360" s="12">
        <v>0.424138922844611</v>
      </c>
    </row>
    <row r="361" spans="1:17">
      <c r="A361" s="10">
        <v>2016</v>
      </c>
      <c r="B361" s="10" t="s">
        <v>46</v>
      </c>
      <c r="C361" s="11">
        <v>868.97691</v>
      </c>
      <c r="D361" s="11">
        <v>179.211492</v>
      </c>
      <c r="E361" s="11">
        <v>3796.650099</v>
      </c>
      <c r="F361" s="10">
        <v>6.48</v>
      </c>
      <c r="G361" s="10">
        <v>410.853264313333</v>
      </c>
      <c r="H361" s="10">
        <v>2428</v>
      </c>
      <c r="I361" s="10">
        <v>1224</v>
      </c>
      <c r="J361" s="12">
        <v>0.504118616144975</v>
      </c>
      <c r="K361" s="10">
        <v>40020</v>
      </c>
      <c r="L361" s="10">
        <v>4.26603464212042</v>
      </c>
      <c r="M361" s="10">
        <v>1.69269427254226</v>
      </c>
      <c r="N361" s="10">
        <v>16302</v>
      </c>
      <c r="O361" s="10">
        <v>3446.1</v>
      </c>
      <c r="P361" s="10">
        <v>9630.8</v>
      </c>
      <c r="Q361" s="12">
        <v>0.357820741786767</v>
      </c>
    </row>
    <row r="362" spans="1:17">
      <c r="A362" s="10">
        <v>2017</v>
      </c>
      <c r="B362" s="10" t="s">
        <v>17</v>
      </c>
      <c r="C362" s="11">
        <v>42.400512</v>
      </c>
      <c r="D362" s="11">
        <v>79.522362</v>
      </c>
      <c r="E362" s="11">
        <v>4.078881</v>
      </c>
      <c r="F362" s="10">
        <v>8.35</v>
      </c>
      <c r="G362" s="10">
        <v>70.05599553469</v>
      </c>
      <c r="H362" s="10">
        <v>2194</v>
      </c>
      <c r="I362" s="10">
        <v>1907</v>
      </c>
      <c r="J362" s="12">
        <v>0.86918869644485</v>
      </c>
      <c r="K362" s="10">
        <v>136172</v>
      </c>
      <c r="L362" s="10">
        <v>0.234434278802965</v>
      </c>
      <c r="M362" s="10">
        <v>0.237191714352642</v>
      </c>
      <c r="N362" s="10">
        <v>7088</v>
      </c>
      <c r="O362" s="10">
        <v>5049.4</v>
      </c>
      <c r="P362" s="10">
        <v>29883</v>
      </c>
      <c r="Q362" s="12">
        <v>0.168972325402403</v>
      </c>
    </row>
    <row r="363" spans="1:17">
      <c r="A363" s="10">
        <v>2017</v>
      </c>
      <c r="B363" s="10" t="s">
        <v>18</v>
      </c>
      <c r="C363" s="11">
        <v>62.826264</v>
      </c>
      <c r="D363" s="11">
        <v>3.560364</v>
      </c>
      <c r="E363" s="11">
        <v>0.241614</v>
      </c>
      <c r="F363" s="10">
        <v>4.43</v>
      </c>
      <c r="G363" s="10">
        <v>132.14512346</v>
      </c>
      <c r="H363" s="10">
        <v>1410</v>
      </c>
      <c r="I363" s="10">
        <v>1178</v>
      </c>
      <c r="J363" s="12">
        <v>0.835460992907801</v>
      </c>
      <c r="K363" s="10">
        <v>87280</v>
      </c>
      <c r="L363" s="10">
        <v>1.06135546447561</v>
      </c>
      <c r="M363" s="10">
        <v>0.629045989751498</v>
      </c>
      <c r="N363" s="10">
        <v>7832</v>
      </c>
      <c r="O363" s="10">
        <v>4564.1</v>
      </c>
      <c r="P363" s="10">
        <v>12450.6</v>
      </c>
      <c r="Q363" s="12">
        <v>0.366576711162514</v>
      </c>
    </row>
    <row r="364" spans="1:17">
      <c r="A364" s="10">
        <v>2017</v>
      </c>
      <c r="B364" s="10" t="s">
        <v>19</v>
      </c>
      <c r="C364" s="11">
        <v>838.629198</v>
      </c>
      <c r="D364" s="11">
        <v>442.751976</v>
      </c>
      <c r="E364" s="11">
        <v>333.010737</v>
      </c>
      <c r="F364" s="10">
        <v>8.83</v>
      </c>
      <c r="G364" s="10">
        <v>541.903058311873</v>
      </c>
      <c r="H364" s="10">
        <v>7409</v>
      </c>
      <c r="I364" s="10">
        <v>4130</v>
      </c>
      <c r="J364" s="12">
        <v>0.557430152517209</v>
      </c>
      <c r="K364" s="10">
        <v>41451</v>
      </c>
      <c r="L364" s="10">
        <v>1.76856693791243</v>
      </c>
      <c r="M364" s="10">
        <v>1.04706796167202</v>
      </c>
      <c r="N364" s="10">
        <v>32083</v>
      </c>
      <c r="O364" s="10">
        <v>12778</v>
      </c>
      <c r="P364" s="10">
        <v>30640.8</v>
      </c>
      <c r="Q364" s="12">
        <v>0.417025665126237</v>
      </c>
    </row>
    <row r="365" spans="1:17">
      <c r="A365" s="10">
        <v>2017</v>
      </c>
      <c r="B365" s="10" t="s">
        <v>20</v>
      </c>
      <c r="C365" s="11">
        <v>548.745867</v>
      </c>
      <c r="D365" s="11">
        <v>390.896964</v>
      </c>
      <c r="E365" s="11">
        <v>535.14792</v>
      </c>
      <c r="F365" s="10">
        <v>6.4</v>
      </c>
      <c r="G365" s="10">
        <v>1521.40754723333</v>
      </c>
      <c r="H365" s="10">
        <v>3510</v>
      </c>
      <c r="I365" s="10">
        <v>2057</v>
      </c>
      <c r="J365" s="12">
        <v>0.586039886039886</v>
      </c>
      <c r="K365" s="10">
        <v>41242</v>
      </c>
      <c r="L365" s="10">
        <v>10.5038389651784</v>
      </c>
      <c r="M365" s="10">
        <v>1.35187755017502</v>
      </c>
      <c r="N365" s="10">
        <v>19581</v>
      </c>
      <c r="O365" s="10">
        <v>6635.3</v>
      </c>
      <c r="P365" s="10">
        <v>14484.3</v>
      </c>
      <c r="Q365" s="12">
        <v>0.458102911428236</v>
      </c>
    </row>
    <row r="366" spans="1:17">
      <c r="A366" s="10">
        <v>2017</v>
      </c>
      <c r="B366" s="10" t="s">
        <v>21</v>
      </c>
      <c r="C366" s="11">
        <v>1399.490064</v>
      </c>
      <c r="D366" s="11">
        <v>1787.20524</v>
      </c>
      <c r="E366" s="11">
        <v>5448.932784</v>
      </c>
      <c r="F366" s="10">
        <v>6.72</v>
      </c>
      <c r="G366" s="10">
        <v>765.072943113333</v>
      </c>
      <c r="H366" s="10">
        <v>2433</v>
      </c>
      <c r="I366" s="10">
        <v>1572</v>
      </c>
      <c r="J366" s="12">
        <v>0.646115906288533</v>
      </c>
      <c r="K366" s="10">
        <v>61196</v>
      </c>
      <c r="L366" s="10">
        <v>5.13537258518424</v>
      </c>
      <c r="M366" s="10">
        <v>1.32654499567059</v>
      </c>
      <c r="N366" s="10">
        <v>19763</v>
      </c>
      <c r="O366" s="10">
        <v>5874.3</v>
      </c>
      <c r="P366" s="10">
        <v>14898.1</v>
      </c>
      <c r="Q366" s="12">
        <v>0.394298601835133</v>
      </c>
    </row>
    <row r="367" spans="1:17">
      <c r="A367" s="10">
        <v>2017</v>
      </c>
      <c r="B367" s="10" t="s">
        <v>22</v>
      </c>
      <c r="C367" s="11">
        <v>711.017037</v>
      </c>
      <c r="D367" s="11">
        <v>515.270727</v>
      </c>
      <c r="E367" s="11">
        <v>63.930573</v>
      </c>
      <c r="F367" s="10">
        <v>12.3</v>
      </c>
      <c r="G367" s="10">
        <v>515.648089266667</v>
      </c>
      <c r="H367" s="10">
        <v>4312</v>
      </c>
      <c r="I367" s="10">
        <v>2996</v>
      </c>
      <c r="J367" s="12">
        <v>0.694805194805195</v>
      </c>
      <c r="K367" s="10">
        <v>50221</v>
      </c>
      <c r="L367" s="10">
        <v>2.37702525822462</v>
      </c>
      <c r="M367" s="10">
        <v>0.984879915180012</v>
      </c>
      <c r="N367" s="10">
        <v>21365</v>
      </c>
      <c r="O367" s="10">
        <v>8328.9</v>
      </c>
      <c r="P367" s="10">
        <v>21693</v>
      </c>
      <c r="Q367" s="12">
        <v>0.383944129442677</v>
      </c>
    </row>
    <row r="368" spans="1:17">
      <c r="A368" s="10">
        <v>2017</v>
      </c>
      <c r="B368" s="10" t="s">
        <v>23</v>
      </c>
      <c r="C368" s="11">
        <v>899.506017</v>
      </c>
      <c r="D368" s="11">
        <v>819.871092</v>
      </c>
      <c r="E368" s="11">
        <v>54.170883</v>
      </c>
      <c r="F368" s="10">
        <v>4.81</v>
      </c>
      <c r="G368" s="10">
        <v>214.517499926667</v>
      </c>
      <c r="H368" s="10">
        <v>2526</v>
      </c>
      <c r="I368" s="10">
        <v>1508</v>
      </c>
      <c r="J368" s="12">
        <v>0.596991290577989</v>
      </c>
      <c r="K368" s="10">
        <v>42890</v>
      </c>
      <c r="L368" s="10">
        <v>1.96408624726851</v>
      </c>
      <c r="M368" s="10">
        <v>0.630012818165171</v>
      </c>
      <c r="N368" s="10">
        <v>6881</v>
      </c>
      <c r="O368" s="10">
        <v>3995.5</v>
      </c>
      <c r="P368" s="10">
        <v>10922</v>
      </c>
      <c r="Q368" s="12">
        <v>0.365821278154184</v>
      </c>
    </row>
    <row r="369" spans="1:17">
      <c r="A369" s="10">
        <v>2017</v>
      </c>
      <c r="B369" s="10" t="s">
        <v>24</v>
      </c>
      <c r="C369" s="11">
        <v>2030.670603</v>
      </c>
      <c r="D369" s="11">
        <v>2221.53507</v>
      </c>
      <c r="E369" s="11">
        <v>68.78286</v>
      </c>
      <c r="F369" s="10">
        <v>6.97</v>
      </c>
      <c r="G369" s="10">
        <v>355.325944233333</v>
      </c>
      <c r="H369" s="10">
        <v>3399</v>
      </c>
      <c r="I369" s="10">
        <v>2104</v>
      </c>
      <c r="J369" s="12">
        <v>0.619005589879376</v>
      </c>
      <c r="K369" s="10">
        <v>35887</v>
      </c>
      <c r="L369" s="10">
        <v>2.88577880478627</v>
      </c>
      <c r="M369" s="10">
        <v>0.914318200276131</v>
      </c>
      <c r="N369" s="10">
        <v>11258</v>
      </c>
      <c r="O369" s="10">
        <v>3519.5</v>
      </c>
      <c r="P369" s="10">
        <v>12313</v>
      </c>
      <c r="Q369" s="12">
        <v>0.285836108178348</v>
      </c>
    </row>
    <row r="370" spans="1:17">
      <c r="A370" s="10">
        <v>2017</v>
      </c>
      <c r="B370" s="10" t="s">
        <v>25</v>
      </c>
      <c r="C370" s="11">
        <v>42.73128</v>
      </c>
      <c r="D370" s="11">
        <v>0.120366</v>
      </c>
      <c r="E370" s="11">
        <v>0.002025</v>
      </c>
      <c r="F370" s="10">
        <v>13.63</v>
      </c>
      <c r="G370" s="10">
        <v>156.578049833333</v>
      </c>
      <c r="H370" s="10">
        <v>2466</v>
      </c>
      <c r="I370" s="10">
        <v>2197</v>
      </c>
      <c r="J370" s="12">
        <v>0.890916463909165</v>
      </c>
      <c r="K370" s="10">
        <v>133489</v>
      </c>
      <c r="L370" s="10">
        <v>0.475559756517337</v>
      </c>
      <c r="M370" s="10">
        <v>0.345694760820046</v>
      </c>
      <c r="N370" s="10">
        <v>11382</v>
      </c>
      <c r="O370" s="10">
        <v>9525.9</v>
      </c>
      <c r="P370" s="10">
        <v>32925</v>
      </c>
      <c r="Q370" s="12">
        <v>0.289321184510251</v>
      </c>
    </row>
    <row r="371" spans="1:17">
      <c r="A371" s="10">
        <v>2017</v>
      </c>
      <c r="B371" s="10" t="s">
        <v>26</v>
      </c>
      <c r="C371" s="11">
        <v>704.204073</v>
      </c>
      <c r="D371" s="11">
        <v>16.835022</v>
      </c>
      <c r="E371" s="11">
        <v>0.056439</v>
      </c>
      <c r="F371" s="10">
        <v>28.6</v>
      </c>
      <c r="G371" s="10">
        <v>645.0487202</v>
      </c>
      <c r="H371" s="10">
        <v>8423</v>
      </c>
      <c r="I371" s="10">
        <v>5911</v>
      </c>
      <c r="J371" s="12">
        <v>0.70176896592663</v>
      </c>
      <c r="K371" s="10">
        <v>102202</v>
      </c>
      <c r="L371" s="10">
        <v>0.751193924057119</v>
      </c>
      <c r="M371" s="10">
        <v>0.368022284901094</v>
      </c>
      <c r="N371" s="10">
        <v>31602</v>
      </c>
      <c r="O371" s="10">
        <v>39124.1</v>
      </c>
      <c r="P371" s="10">
        <v>85869.8</v>
      </c>
      <c r="Q371" s="12">
        <v>0.455621184630685</v>
      </c>
    </row>
    <row r="372" spans="1:17">
      <c r="A372" s="10">
        <v>2017</v>
      </c>
      <c r="B372" s="10" t="s">
        <v>27</v>
      </c>
      <c r="C372" s="11">
        <v>242.963784</v>
      </c>
      <c r="D372" s="11">
        <v>674.78733</v>
      </c>
      <c r="E372" s="11">
        <v>0.137871</v>
      </c>
      <c r="F372" s="10">
        <v>15.92</v>
      </c>
      <c r="G372" s="10">
        <v>401.44067626407</v>
      </c>
      <c r="H372" s="10">
        <v>6170</v>
      </c>
      <c r="I372" s="10">
        <v>4252</v>
      </c>
      <c r="J372" s="12">
        <v>0.689141004862237</v>
      </c>
      <c r="K372" s="10">
        <v>85612</v>
      </c>
      <c r="L372" s="10">
        <v>0.76606284029775</v>
      </c>
      <c r="M372" s="10">
        <v>0.401312136114085</v>
      </c>
      <c r="N372" s="10">
        <v>21030</v>
      </c>
      <c r="O372" s="10">
        <v>23246.7</v>
      </c>
      <c r="P372" s="10">
        <v>52403.1</v>
      </c>
      <c r="Q372" s="12">
        <v>0.443613068692501</v>
      </c>
    </row>
    <row r="373" spans="1:17">
      <c r="A373" s="10">
        <v>2017</v>
      </c>
      <c r="B373" s="10" t="s">
        <v>28</v>
      </c>
      <c r="C373" s="11">
        <v>832.369887</v>
      </c>
      <c r="D373" s="11">
        <v>370.043838</v>
      </c>
      <c r="E373" s="11">
        <v>0.613152</v>
      </c>
      <c r="F373" s="10">
        <v>10.24</v>
      </c>
      <c r="G373" s="10">
        <v>397.016382828369</v>
      </c>
      <c r="H373" s="10">
        <v>6057</v>
      </c>
      <c r="I373" s="10">
        <v>3288</v>
      </c>
      <c r="J373" s="12">
        <v>0.54284299157999</v>
      </c>
      <c r="K373" s="10">
        <v>49092</v>
      </c>
      <c r="L373" s="10">
        <v>1.33782756157584</v>
      </c>
      <c r="M373" s="10">
        <v>0.438701720570693</v>
      </c>
      <c r="N373" s="10">
        <v>13019</v>
      </c>
      <c r="O373" s="10">
        <v>12681.2</v>
      </c>
      <c r="P373" s="10">
        <v>29676.2</v>
      </c>
      <c r="Q373" s="12">
        <v>0.427318861579313</v>
      </c>
    </row>
    <row r="374" spans="1:17">
      <c r="A374" s="10">
        <v>2017</v>
      </c>
      <c r="B374" s="10" t="s">
        <v>29</v>
      </c>
      <c r="C374" s="11">
        <v>160.408719</v>
      </c>
      <c r="D374" s="11">
        <v>1005.731496</v>
      </c>
      <c r="E374" s="11">
        <v>0.606006</v>
      </c>
      <c r="F374" s="10">
        <v>6.98</v>
      </c>
      <c r="G374" s="10">
        <v>232.919327591333</v>
      </c>
      <c r="H374" s="10">
        <v>4065</v>
      </c>
      <c r="I374" s="10">
        <v>2674</v>
      </c>
      <c r="J374" s="12">
        <v>0.657810578105781</v>
      </c>
      <c r="K374" s="10">
        <v>83758</v>
      </c>
      <c r="L374" s="10">
        <v>0.688247073467997</v>
      </c>
      <c r="M374" s="10">
        <v>0.37098432735267</v>
      </c>
      <c r="N374" s="10">
        <v>12555</v>
      </c>
      <c r="O374" s="10">
        <v>16290</v>
      </c>
      <c r="P374" s="10">
        <v>33842.4</v>
      </c>
      <c r="Q374" s="12">
        <v>0.481348840507765</v>
      </c>
    </row>
    <row r="375" spans="1:17">
      <c r="A375" s="10">
        <v>2017</v>
      </c>
      <c r="B375" s="10" t="s">
        <v>30</v>
      </c>
      <c r="C375" s="11">
        <v>481.676535</v>
      </c>
      <c r="D375" s="11">
        <v>1069.432353</v>
      </c>
      <c r="E375" s="11">
        <v>0.76968</v>
      </c>
      <c r="F375" s="10">
        <v>6.37</v>
      </c>
      <c r="G375" s="10">
        <v>179.011119546667</v>
      </c>
      <c r="H375" s="10">
        <v>4511</v>
      </c>
      <c r="I375" s="10">
        <v>2513</v>
      </c>
      <c r="J375" s="12">
        <v>0.557082686765684</v>
      </c>
      <c r="K375" s="10">
        <v>44878</v>
      </c>
      <c r="L375" s="10">
        <v>0.885720107797151</v>
      </c>
      <c r="M375" s="10">
        <v>0.443921071902151</v>
      </c>
      <c r="N375" s="10">
        <v>8972</v>
      </c>
      <c r="O375" s="10">
        <v>9444.6</v>
      </c>
      <c r="P375" s="10">
        <v>20210.8</v>
      </c>
      <c r="Q375" s="12">
        <v>0.467304609416748</v>
      </c>
    </row>
    <row r="376" spans="1:17">
      <c r="A376" s="10">
        <v>2017</v>
      </c>
      <c r="B376" s="10" t="s">
        <v>31</v>
      </c>
      <c r="C376" s="11">
        <v>1075.55715</v>
      </c>
      <c r="D376" s="11">
        <v>78.947937</v>
      </c>
      <c r="E376" s="11">
        <v>25.669728</v>
      </c>
      <c r="F376" s="10">
        <v>23.57</v>
      </c>
      <c r="G376" s="10">
        <v>1101.79652166667</v>
      </c>
      <c r="H376" s="10">
        <v>10033</v>
      </c>
      <c r="I376" s="10">
        <v>6099</v>
      </c>
      <c r="J376" s="12">
        <v>0.607893949965115</v>
      </c>
      <c r="K376" s="10">
        <v>62993</v>
      </c>
      <c r="L376" s="10">
        <v>1.74854753557915</v>
      </c>
      <c r="M376" s="10">
        <v>0.636353970110503</v>
      </c>
      <c r="N376" s="10">
        <v>40098</v>
      </c>
      <c r="O376" s="10">
        <v>26925.6</v>
      </c>
      <c r="P376" s="10">
        <v>63012.1</v>
      </c>
      <c r="Q376" s="12">
        <v>0.427308405845861</v>
      </c>
    </row>
    <row r="377" spans="1:17">
      <c r="A377" s="10">
        <v>2017</v>
      </c>
      <c r="B377" s="10" t="s">
        <v>32</v>
      </c>
      <c r="C377" s="11">
        <v>1090.641411</v>
      </c>
      <c r="D377" s="11">
        <v>292.939479</v>
      </c>
      <c r="E377" s="11">
        <v>26.19207</v>
      </c>
      <c r="F377" s="10">
        <v>10.12</v>
      </c>
      <c r="G377" s="10">
        <v>557.620641313387</v>
      </c>
      <c r="H377" s="10">
        <v>9829</v>
      </c>
      <c r="I377" s="10">
        <v>4970</v>
      </c>
      <c r="J377" s="12">
        <v>0.505646556109472</v>
      </c>
      <c r="K377" s="10">
        <v>45723</v>
      </c>
      <c r="L377" s="10">
        <v>1.24399751324239</v>
      </c>
      <c r="M377" s="10">
        <v>0.49441270365355</v>
      </c>
      <c r="N377" s="10">
        <v>22162</v>
      </c>
      <c r="O377" s="10">
        <v>20940.3</v>
      </c>
      <c r="P377" s="10">
        <v>44824.9</v>
      </c>
      <c r="Q377" s="12">
        <v>0.467157762761322</v>
      </c>
    </row>
    <row r="378" spans="1:17">
      <c r="A378" s="10">
        <v>2017</v>
      </c>
      <c r="B378" s="10" t="s">
        <v>33</v>
      </c>
      <c r="C378" s="11">
        <v>812.031426</v>
      </c>
      <c r="D378" s="11">
        <v>906.335433</v>
      </c>
      <c r="E378" s="11">
        <v>2.676672</v>
      </c>
      <c r="F378" s="10">
        <v>8.67</v>
      </c>
      <c r="G378" s="10">
        <v>266.934413890834</v>
      </c>
      <c r="H378" s="10">
        <v>5904</v>
      </c>
      <c r="I378" s="10">
        <v>3535</v>
      </c>
      <c r="J378" s="12">
        <v>0.598746612466125</v>
      </c>
      <c r="K378" s="10">
        <v>63169</v>
      </c>
      <c r="L378" s="10">
        <v>0.716891134391928</v>
      </c>
      <c r="M378" s="10">
        <v>0.434537397609776</v>
      </c>
      <c r="N378" s="10">
        <v>16180</v>
      </c>
      <c r="O378" s="10">
        <v>15713.9</v>
      </c>
      <c r="P378" s="10">
        <v>37235</v>
      </c>
      <c r="Q378" s="12">
        <v>0.422019605210152</v>
      </c>
    </row>
    <row r="379" spans="1:17">
      <c r="A379" s="10">
        <v>2017</v>
      </c>
      <c r="B379" s="10" t="s">
        <v>34</v>
      </c>
      <c r="C379" s="11">
        <v>714.503061</v>
      </c>
      <c r="D379" s="11">
        <v>1309.377231</v>
      </c>
      <c r="E379" s="11">
        <v>0.668988</v>
      </c>
      <c r="F379" s="10">
        <v>6.77</v>
      </c>
      <c r="G379" s="10">
        <v>275.967599351963</v>
      </c>
      <c r="H379" s="10">
        <v>6633</v>
      </c>
      <c r="I379" s="10">
        <v>3623</v>
      </c>
      <c r="J379" s="12">
        <v>0.546208352178501</v>
      </c>
      <c r="K379" s="10">
        <v>51030</v>
      </c>
      <c r="L379" s="10">
        <v>0.815793968186104</v>
      </c>
      <c r="M379" s="10">
        <v>0.449330586110364</v>
      </c>
      <c r="N379" s="10">
        <v>15200</v>
      </c>
      <c r="O379" s="10">
        <v>13459.8</v>
      </c>
      <c r="P379" s="10">
        <v>33828.1</v>
      </c>
      <c r="Q379" s="12">
        <v>0.397888146245281</v>
      </c>
    </row>
    <row r="380" spans="1:17">
      <c r="A380" s="10">
        <v>2017</v>
      </c>
      <c r="B380" s="10" t="s">
        <v>35</v>
      </c>
      <c r="C380" s="11">
        <v>459.419022</v>
      </c>
      <c r="D380" s="11">
        <v>1152.0504</v>
      </c>
      <c r="E380" s="11">
        <v>1.370169</v>
      </c>
      <c r="F380" s="10">
        <v>45.58</v>
      </c>
      <c r="G380" s="10">
        <v>533.197927146667</v>
      </c>
      <c r="H380" s="10">
        <v>12141</v>
      </c>
      <c r="I380" s="10">
        <v>8589</v>
      </c>
      <c r="J380" s="12">
        <v>0.707437608104769</v>
      </c>
      <c r="K380" s="10">
        <v>76218</v>
      </c>
      <c r="L380" s="10">
        <v>0.581784495739347</v>
      </c>
      <c r="M380" s="10">
        <v>0.352530914241009</v>
      </c>
      <c r="N380" s="10">
        <v>32309</v>
      </c>
      <c r="O380" s="10">
        <v>38536.6</v>
      </c>
      <c r="P380" s="10">
        <v>91648.7</v>
      </c>
      <c r="Q380" s="12">
        <v>0.420481687137952</v>
      </c>
    </row>
    <row r="381" spans="1:17">
      <c r="A381" s="10">
        <v>2017</v>
      </c>
      <c r="B381" s="10" t="s">
        <v>36</v>
      </c>
      <c r="C381" s="11">
        <v>570.743064</v>
      </c>
      <c r="D381" s="11">
        <v>1681.860636</v>
      </c>
      <c r="E381" s="11">
        <v>1.726686</v>
      </c>
      <c r="F381" s="10">
        <v>8.88</v>
      </c>
      <c r="G381" s="10">
        <v>193.853496</v>
      </c>
      <c r="H381" s="10">
        <v>4907</v>
      </c>
      <c r="I381" s="10">
        <v>2482</v>
      </c>
      <c r="J381" s="12">
        <v>0.505808029345832</v>
      </c>
      <c r="K381" s="10">
        <v>36441</v>
      </c>
      <c r="L381" s="10">
        <v>1.08963388736812</v>
      </c>
      <c r="M381" s="10">
        <v>0.587722798990484</v>
      </c>
      <c r="N381" s="10">
        <v>10456</v>
      </c>
      <c r="O381" s="10">
        <v>6138.3</v>
      </c>
      <c r="P381" s="10">
        <v>17790.7</v>
      </c>
      <c r="Q381" s="12">
        <v>0.345028582349205</v>
      </c>
    </row>
    <row r="382" spans="1:17">
      <c r="A382" s="10">
        <v>2017</v>
      </c>
      <c r="B382" s="10" t="s">
        <v>37</v>
      </c>
      <c r="C382" s="11">
        <v>100.648188</v>
      </c>
      <c r="D382" s="11">
        <v>225.747675</v>
      </c>
      <c r="E382" s="11">
        <v>0.277731</v>
      </c>
      <c r="F382" s="10">
        <v>1.53</v>
      </c>
      <c r="G382" s="10">
        <v>60.7524931</v>
      </c>
      <c r="H382" s="10">
        <v>972</v>
      </c>
      <c r="I382" s="10">
        <v>564</v>
      </c>
      <c r="J382" s="12">
        <v>0.580246913580247</v>
      </c>
      <c r="K382" s="10">
        <v>46631</v>
      </c>
      <c r="L382" s="10">
        <v>1.35080584991662</v>
      </c>
      <c r="M382" s="10">
        <v>0.462479155086159</v>
      </c>
      <c r="N382" s="10">
        <v>2080</v>
      </c>
      <c r="O382" s="10">
        <v>996.4</v>
      </c>
      <c r="P382" s="10">
        <v>4497.5</v>
      </c>
      <c r="Q382" s="12">
        <v>0.221545302946081</v>
      </c>
    </row>
    <row r="383" spans="1:17">
      <c r="A383" s="10">
        <v>2017</v>
      </c>
      <c r="B383" s="10" t="s">
        <v>38</v>
      </c>
      <c r="C383" s="11">
        <v>361.306089</v>
      </c>
      <c r="D383" s="11">
        <v>432.476532</v>
      </c>
      <c r="E383" s="11">
        <v>0.724887</v>
      </c>
      <c r="F383" s="10">
        <v>6.16</v>
      </c>
      <c r="G383" s="10">
        <v>127.7745014</v>
      </c>
      <c r="H383" s="10">
        <v>3144</v>
      </c>
      <c r="I383" s="10">
        <v>2044</v>
      </c>
      <c r="J383" s="12">
        <v>0.650127226463104</v>
      </c>
      <c r="K383" s="10">
        <v>64171</v>
      </c>
      <c r="L383" s="10">
        <v>0.636761642156252</v>
      </c>
      <c r="M383" s="10">
        <v>0.412582289709613</v>
      </c>
      <c r="N383" s="10">
        <v>8279</v>
      </c>
      <c r="O383" s="10">
        <v>8455</v>
      </c>
      <c r="P383" s="10">
        <v>20066.3</v>
      </c>
      <c r="Q383" s="12">
        <v>0.421353214095274</v>
      </c>
    </row>
    <row r="384" spans="1:17">
      <c r="A384" s="10">
        <v>2017</v>
      </c>
      <c r="B384" s="10" t="s">
        <v>39</v>
      </c>
      <c r="C384" s="11">
        <v>1142.1531</v>
      </c>
      <c r="D384" s="11">
        <v>1932.43914</v>
      </c>
      <c r="E384" s="11">
        <v>1614.266199</v>
      </c>
      <c r="F384" s="10">
        <v>10.75</v>
      </c>
      <c r="G384" s="10">
        <v>229.7610888</v>
      </c>
      <c r="H384" s="10">
        <v>8289</v>
      </c>
      <c r="I384" s="10">
        <v>4292</v>
      </c>
      <c r="J384" s="12">
        <v>0.517794667631801</v>
      </c>
      <c r="K384" s="10">
        <v>45835</v>
      </c>
      <c r="L384" s="10">
        <v>0.606148219632714</v>
      </c>
      <c r="M384" s="10">
        <v>0.507293213841937</v>
      </c>
      <c r="N384" s="10">
        <v>19229</v>
      </c>
      <c r="O384" s="10">
        <v>14569.2</v>
      </c>
      <c r="P384" s="10">
        <v>37905.1</v>
      </c>
      <c r="Q384" s="12">
        <v>0.384359888247228</v>
      </c>
    </row>
    <row r="385" spans="1:17">
      <c r="A385" s="10">
        <v>2017</v>
      </c>
      <c r="B385" s="10" t="s">
        <v>40</v>
      </c>
      <c r="C385" s="11">
        <v>603.050517</v>
      </c>
      <c r="D385" s="11">
        <v>1055.037114</v>
      </c>
      <c r="E385" s="11">
        <v>25.838325</v>
      </c>
      <c r="F385" s="10">
        <v>4.74</v>
      </c>
      <c r="G385" s="10">
        <v>340.338795276333</v>
      </c>
      <c r="H385" s="10">
        <v>3803</v>
      </c>
      <c r="I385" s="10">
        <v>1816</v>
      </c>
      <c r="J385" s="12">
        <v>0.477517749145412</v>
      </c>
      <c r="K385" s="10">
        <v>35988</v>
      </c>
      <c r="L385" s="10">
        <v>2.50149789992454</v>
      </c>
      <c r="M385" s="10">
        <v>0.723683243418055</v>
      </c>
      <c r="N385" s="10">
        <v>9846</v>
      </c>
      <c r="O385" s="10">
        <v>4970.9</v>
      </c>
      <c r="P385" s="10">
        <v>13605.4</v>
      </c>
      <c r="Q385" s="12">
        <v>0.365362282623076</v>
      </c>
    </row>
    <row r="386" spans="1:17">
      <c r="A386" s="10">
        <v>2017</v>
      </c>
      <c r="B386" s="10" t="s">
        <v>41</v>
      </c>
      <c r="C386" s="11">
        <v>817.712703</v>
      </c>
      <c r="D386" s="11">
        <v>2624.043375</v>
      </c>
      <c r="E386" s="11">
        <v>245.961837</v>
      </c>
      <c r="F386" s="10">
        <v>4.52</v>
      </c>
      <c r="G386" s="10">
        <v>198.216998055617</v>
      </c>
      <c r="H386" s="10">
        <v>4693</v>
      </c>
      <c r="I386" s="10">
        <v>2172</v>
      </c>
      <c r="J386" s="12">
        <v>0.46281696143192</v>
      </c>
      <c r="K386" s="10">
        <v>39458</v>
      </c>
      <c r="L386" s="10">
        <v>1.07225466869857</v>
      </c>
      <c r="M386" s="10">
        <v>0.603916477334199</v>
      </c>
      <c r="N386" s="10">
        <v>11164</v>
      </c>
      <c r="O386" s="10">
        <v>6317.8</v>
      </c>
      <c r="P386" s="10">
        <v>18486</v>
      </c>
      <c r="Q386" s="12">
        <v>0.341761332900573</v>
      </c>
    </row>
    <row r="387" spans="1:17">
      <c r="A387" s="10">
        <v>2017</v>
      </c>
      <c r="B387" s="10" t="s">
        <v>42</v>
      </c>
      <c r="C387" s="11">
        <v>511.156557</v>
      </c>
      <c r="D387" s="11">
        <v>922.965552</v>
      </c>
      <c r="E387" s="11">
        <v>559.908</v>
      </c>
      <c r="F387" s="10">
        <v>6.92</v>
      </c>
      <c r="G387" s="10">
        <v>637.834905463546</v>
      </c>
      <c r="H387" s="10">
        <v>3904</v>
      </c>
      <c r="I387" s="10">
        <v>2267</v>
      </c>
      <c r="J387" s="12">
        <v>0.580686475409836</v>
      </c>
      <c r="K387" s="10">
        <v>55216</v>
      </c>
      <c r="L387" s="10">
        <v>2.97033508959204</v>
      </c>
      <c r="M387" s="10">
        <v>0.584394719072345</v>
      </c>
      <c r="N387" s="10">
        <v>12549</v>
      </c>
      <c r="O387" s="10">
        <v>10114.1</v>
      </c>
      <c r="P387" s="10">
        <v>21473.5</v>
      </c>
      <c r="Q387" s="12">
        <v>0.471003795375696</v>
      </c>
    </row>
    <row r="388" spans="1:17">
      <c r="A388" s="10">
        <v>2017</v>
      </c>
      <c r="B388" s="10" t="s">
        <v>43</v>
      </c>
      <c r="C388" s="11">
        <v>520.724169</v>
      </c>
      <c r="D388" s="11">
        <v>379.02789</v>
      </c>
      <c r="E388" s="11">
        <v>1584.166491</v>
      </c>
      <c r="F388" s="10">
        <v>2.69</v>
      </c>
      <c r="G388" s="10">
        <v>173.986765128496</v>
      </c>
      <c r="H388" s="10">
        <v>2522</v>
      </c>
      <c r="I388" s="10">
        <v>1214</v>
      </c>
      <c r="J388" s="12">
        <v>0.481363996827914</v>
      </c>
      <c r="K388" s="10">
        <v>29103</v>
      </c>
      <c r="L388" s="10">
        <v>2.37145808235987</v>
      </c>
      <c r="M388" s="10">
        <v>1.02280316763668</v>
      </c>
      <c r="N388" s="10">
        <v>7504</v>
      </c>
      <c r="O388" s="10">
        <v>2515.8</v>
      </c>
      <c r="P388" s="10">
        <v>7336.7</v>
      </c>
      <c r="Q388" s="12">
        <v>0.342906211239386</v>
      </c>
    </row>
    <row r="389" spans="1:17">
      <c r="A389" s="10">
        <v>2017</v>
      </c>
      <c r="B389" s="10" t="s">
        <v>44</v>
      </c>
      <c r="C389" s="11">
        <v>54.846891</v>
      </c>
      <c r="D389" s="11">
        <v>62.124921</v>
      </c>
      <c r="E389" s="11">
        <v>4608.920916</v>
      </c>
      <c r="F389" s="10">
        <v>0.64</v>
      </c>
      <c r="G389" s="10">
        <v>48.683126683</v>
      </c>
      <c r="H389" s="10">
        <v>586</v>
      </c>
      <c r="I389" s="10">
        <v>325</v>
      </c>
      <c r="J389" s="12">
        <v>0.554607508532423</v>
      </c>
      <c r="K389" s="10">
        <v>42211</v>
      </c>
      <c r="L389" s="10">
        <v>1.97489459587846</v>
      </c>
      <c r="M389" s="10">
        <v>1.7009451949211</v>
      </c>
      <c r="N389" s="10">
        <v>4193</v>
      </c>
      <c r="O389" s="10">
        <v>975.7</v>
      </c>
      <c r="P389" s="10">
        <v>2465.1</v>
      </c>
      <c r="Q389" s="12">
        <v>0.395805443998215</v>
      </c>
    </row>
    <row r="390" spans="1:17">
      <c r="A390" s="10">
        <v>2017</v>
      </c>
      <c r="B390" s="10" t="s">
        <v>45</v>
      </c>
      <c r="C390" s="11">
        <v>131.498973</v>
      </c>
      <c r="D390" s="11">
        <v>7.543791</v>
      </c>
      <c r="E390" s="11">
        <v>350.104104</v>
      </c>
      <c r="F390" s="10">
        <v>2.64</v>
      </c>
      <c r="G390" s="10">
        <v>226.23797925305</v>
      </c>
      <c r="H390" s="10">
        <v>705</v>
      </c>
      <c r="I390" s="10">
        <v>430</v>
      </c>
      <c r="J390" s="12">
        <v>0.609929078014184</v>
      </c>
      <c r="K390" s="10">
        <v>45718</v>
      </c>
      <c r="L390" s="10">
        <v>7.06927410721026</v>
      </c>
      <c r="M390" s="10">
        <v>2.01887323063463</v>
      </c>
      <c r="N390" s="10">
        <v>6461</v>
      </c>
      <c r="O390" s="10">
        <v>1406</v>
      </c>
      <c r="P390" s="10">
        <v>3200.3</v>
      </c>
      <c r="Q390" s="12">
        <v>0.439333812455082</v>
      </c>
    </row>
    <row r="391" spans="1:17">
      <c r="A391" s="10">
        <v>2017</v>
      </c>
      <c r="B391" s="10" t="s">
        <v>46</v>
      </c>
      <c r="C391" s="11">
        <v>861.973434</v>
      </c>
      <c r="D391" s="11">
        <v>180.126207</v>
      </c>
      <c r="E391" s="11">
        <v>3802.041117</v>
      </c>
      <c r="F391" s="10">
        <v>6.89</v>
      </c>
      <c r="G391" s="10">
        <v>452.2648373</v>
      </c>
      <c r="H391" s="10">
        <v>2480</v>
      </c>
      <c r="I391" s="10">
        <v>1287</v>
      </c>
      <c r="J391" s="12">
        <v>0.518951612903226</v>
      </c>
      <c r="K391" s="10">
        <v>45476</v>
      </c>
      <c r="L391" s="10">
        <v>4.05258861907365</v>
      </c>
      <c r="M391" s="10">
        <v>1.55789926433033</v>
      </c>
      <c r="N391" s="10">
        <v>17386</v>
      </c>
      <c r="O391" s="10">
        <v>4096.2</v>
      </c>
      <c r="P391" s="10">
        <v>11159.9</v>
      </c>
      <c r="Q391" s="12">
        <v>0.367046299698026</v>
      </c>
    </row>
    <row r="392" spans="1:17">
      <c r="A392" s="10">
        <v>2018</v>
      </c>
      <c r="B392" s="10" t="s">
        <v>17</v>
      </c>
      <c r="C392" s="11">
        <v>42.068025</v>
      </c>
      <c r="D392" s="11">
        <v>79.781742</v>
      </c>
      <c r="E392" s="11">
        <v>3.866751</v>
      </c>
      <c r="F392" s="10">
        <v>8.53</v>
      </c>
      <c r="G392" s="10">
        <v>71.8777125653333</v>
      </c>
      <c r="H392" s="10">
        <v>2192</v>
      </c>
      <c r="I392" s="10">
        <v>1909</v>
      </c>
      <c r="J392" s="12">
        <v>0.870894160583942</v>
      </c>
      <c r="K392" s="10">
        <v>150962</v>
      </c>
      <c r="L392" s="10">
        <v>0.217113854181518</v>
      </c>
      <c r="M392" s="10">
        <v>0.219597656014016</v>
      </c>
      <c r="N392" s="10">
        <v>7270</v>
      </c>
      <c r="O392" s="10">
        <v>5477.4</v>
      </c>
      <c r="P392" s="10">
        <v>33106</v>
      </c>
      <c r="Q392" s="12">
        <v>0.165450371533861</v>
      </c>
    </row>
    <row r="393" spans="1:17">
      <c r="A393" s="10">
        <v>2018</v>
      </c>
      <c r="B393" s="10" t="s">
        <v>18</v>
      </c>
      <c r="C393" s="11">
        <v>62.959698</v>
      </c>
      <c r="D393" s="11">
        <v>3.513879</v>
      </c>
      <c r="E393" s="11">
        <v>0.225594</v>
      </c>
      <c r="F393" s="10">
        <v>4.65</v>
      </c>
      <c r="G393" s="10">
        <v>138.356973577503</v>
      </c>
      <c r="H393" s="10">
        <v>1383</v>
      </c>
      <c r="I393" s="10">
        <v>1161</v>
      </c>
      <c r="J393" s="12">
        <v>0.839479392624729</v>
      </c>
      <c r="K393" s="10">
        <v>95689</v>
      </c>
      <c r="L393" s="10">
        <v>1.03538134370162</v>
      </c>
      <c r="M393" s="10">
        <v>0.596651924357737</v>
      </c>
      <c r="N393" s="10">
        <v>7973</v>
      </c>
      <c r="O393" s="10">
        <v>4835.3</v>
      </c>
      <c r="P393" s="10">
        <v>13362.9</v>
      </c>
      <c r="Q393" s="12">
        <v>0.361845108471963</v>
      </c>
    </row>
    <row r="394" spans="1:17">
      <c r="A394" s="10">
        <v>2018</v>
      </c>
      <c r="B394" s="10" t="s">
        <v>19</v>
      </c>
      <c r="C394" s="11">
        <v>841.352364</v>
      </c>
      <c r="D394" s="11">
        <v>446.417478</v>
      </c>
      <c r="E394" s="11">
        <v>324.422082</v>
      </c>
      <c r="F394" s="10">
        <v>9.14</v>
      </c>
      <c r="G394" s="10">
        <v>595.289452033333</v>
      </c>
      <c r="H394" s="10">
        <v>7426</v>
      </c>
      <c r="I394" s="10">
        <v>4257</v>
      </c>
      <c r="J394" s="12">
        <v>0.573256127120926</v>
      </c>
      <c r="K394" s="10">
        <v>43808</v>
      </c>
      <c r="L394" s="10">
        <v>1.8319642403148</v>
      </c>
      <c r="M394" s="10">
        <v>0.990472263083712</v>
      </c>
      <c r="N394" s="10">
        <v>32185</v>
      </c>
      <c r="O394" s="10">
        <v>12904.1</v>
      </c>
      <c r="P394" s="10">
        <v>32494.6</v>
      </c>
      <c r="Q394" s="12">
        <v>0.397115212989235</v>
      </c>
    </row>
    <row r="395" spans="1:17">
      <c r="A395" s="10">
        <v>2018</v>
      </c>
      <c r="B395" s="10" t="s">
        <v>20</v>
      </c>
      <c r="C395" s="11">
        <v>552.345282</v>
      </c>
      <c r="D395" s="11">
        <v>397.341774</v>
      </c>
      <c r="E395" s="11">
        <v>524.933415</v>
      </c>
      <c r="F395" s="10">
        <v>4.82</v>
      </c>
      <c r="G395" s="10">
        <v>1650.13178740667</v>
      </c>
      <c r="H395" s="10">
        <v>3502</v>
      </c>
      <c r="I395" s="10">
        <v>2096</v>
      </c>
      <c r="J395" s="12">
        <v>0.598515134209023</v>
      </c>
      <c r="K395" s="10">
        <v>45517</v>
      </c>
      <c r="L395" s="10">
        <v>10.340402600602</v>
      </c>
      <c r="M395" s="10">
        <v>1.26575218854375</v>
      </c>
      <c r="N395" s="10">
        <v>20199</v>
      </c>
      <c r="O395" s="10">
        <v>7074.5</v>
      </c>
      <c r="P395" s="10">
        <v>15958.1</v>
      </c>
      <c r="Q395" s="12">
        <v>0.44331718688315</v>
      </c>
    </row>
    <row r="396" spans="1:17">
      <c r="A396" s="10">
        <v>2018</v>
      </c>
      <c r="B396" s="10" t="s">
        <v>21</v>
      </c>
      <c r="C396" s="11">
        <v>1386.236439</v>
      </c>
      <c r="D396" s="11">
        <v>1791.871506</v>
      </c>
      <c r="E396" s="11">
        <v>5445.801261</v>
      </c>
      <c r="F396" s="10">
        <v>6.72</v>
      </c>
      <c r="G396" s="10">
        <v>857.573214913333</v>
      </c>
      <c r="H396" s="10">
        <v>2422</v>
      </c>
      <c r="I396" s="10">
        <v>1587</v>
      </c>
      <c r="J396" s="12">
        <v>0.655243600330305</v>
      </c>
      <c r="K396" s="10">
        <v>66491</v>
      </c>
      <c r="L396" s="10">
        <v>5.31307751111056</v>
      </c>
      <c r="M396" s="10">
        <v>1.42917327517843</v>
      </c>
      <c r="N396" s="10">
        <v>23068</v>
      </c>
      <c r="O396" s="10">
        <v>6335.4</v>
      </c>
      <c r="P396" s="10">
        <v>16140.8</v>
      </c>
      <c r="Q396" s="12">
        <v>0.392508425852498</v>
      </c>
    </row>
    <row r="397" spans="1:17">
      <c r="A397" s="10">
        <v>2018</v>
      </c>
      <c r="B397" s="10" t="s">
        <v>22</v>
      </c>
      <c r="C397" s="11">
        <v>710.951805</v>
      </c>
      <c r="D397" s="11">
        <v>514.685691</v>
      </c>
      <c r="E397" s="11">
        <v>63.514368</v>
      </c>
      <c r="F397" s="10">
        <v>12.23</v>
      </c>
      <c r="G397" s="10">
        <v>560.657957493333</v>
      </c>
      <c r="H397" s="10">
        <v>4291</v>
      </c>
      <c r="I397" s="10">
        <v>3015</v>
      </c>
      <c r="J397" s="12">
        <v>0.7026334187835</v>
      </c>
      <c r="K397" s="10">
        <v>54657</v>
      </c>
      <c r="L397" s="10">
        <v>2.3847130324465</v>
      </c>
      <c r="M397" s="10">
        <v>0.949405584738734</v>
      </c>
      <c r="N397" s="10">
        <v>22321</v>
      </c>
      <c r="O397" s="10">
        <v>9049</v>
      </c>
      <c r="P397" s="10">
        <v>23510.5</v>
      </c>
      <c r="Q397" s="12">
        <v>0.384891856829927</v>
      </c>
    </row>
    <row r="398" spans="1:17">
      <c r="A398" s="10">
        <v>2018</v>
      </c>
      <c r="B398" s="10" t="s">
        <v>23</v>
      </c>
      <c r="C398" s="11">
        <v>900.157842</v>
      </c>
      <c r="D398" s="11">
        <v>821.748366</v>
      </c>
      <c r="E398" s="11">
        <v>51.484041</v>
      </c>
      <c r="F398" s="10">
        <v>6.93</v>
      </c>
      <c r="G398" s="10">
        <v>193.871503366667</v>
      </c>
      <c r="H398" s="10">
        <v>2484</v>
      </c>
      <c r="I398" s="10">
        <v>1512</v>
      </c>
      <c r="J398" s="12">
        <v>0.608695652173913</v>
      </c>
      <c r="K398" s="10">
        <v>44925</v>
      </c>
      <c r="L398" s="10">
        <v>1.72272035549474</v>
      </c>
      <c r="M398" s="10">
        <v>0.622012120350459</v>
      </c>
      <c r="N398" s="10">
        <v>7000</v>
      </c>
      <c r="O398" s="10">
        <v>4051.5</v>
      </c>
      <c r="P398" s="10">
        <v>11253.8</v>
      </c>
      <c r="Q398" s="12">
        <v>0.360011729371412</v>
      </c>
    </row>
    <row r="399" spans="1:17">
      <c r="A399" s="10">
        <v>2018</v>
      </c>
      <c r="B399" s="10" t="s">
        <v>24</v>
      </c>
      <c r="C399" s="11">
        <v>2025.709947</v>
      </c>
      <c r="D399" s="11">
        <v>2228.743242</v>
      </c>
      <c r="E399" s="11">
        <v>64.721331</v>
      </c>
      <c r="F399" s="10">
        <v>7.07</v>
      </c>
      <c r="G399" s="10">
        <v>338.787692666667</v>
      </c>
      <c r="H399" s="10">
        <v>3327</v>
      </c>
      <c r="I399" s="10">
        <v>2111</v>
      </c>
      <c r="J399" s="12">
        <v>0.634505560565074</v>
      </c>
      <c r="K399" s="10">
        <v>38199</v>
      </c>
      <c r="L399" s="10">
        <v>2.63719840163988</v>
      </c>
      <c r="M399" s="10">
        <v>0.890203557389172</v>
      </c>
      <c r="N399" s="10">
        <v>11436</v>
      </c>
      <c r="O399" s="10">
        <v>3536</v>
      </c>
      <c r="P399" s="10">
        <v>12846.5</v>
      </c>
      <c r="Q399" s="12">
        <v>0.275250068111937</v>
      </c>
    </row>
    <row r="400" spans="1:17">
      <c r="A400" s="10">
        <v>2018</v>
      </c>
      <c r="B400" s="10" t="s">
        <v>25</v>
      </c>
      <c r="C400" s="11">
        <v>42.558228</v>
      </c>
      <c r="D400" s="11">
        <v>0.118269</v>
      </c>
      <c r="E400" s="11">
        <v>0.001161</v>
      </c>
      <c r="F400" s="10">
        <v>13.94</v>
      </c>
      <c r="G400" s="10">
        <v>151.47447972</v>
      </c>
      <c r="H400" s="10">
        <v>2475</v>
      </c>
      <c r="I400" s="10">
        <v>2206</v>
      </c>
      <c r="J400" s="12">
        <v>0.891313131313131</v>
      </c>
      <c r="K400" s="10">
        <v>145767</v>
      </c>
      <c r="L400" s="10">
        <v>0.420624572279086</v>
      </c>
      <c r="M400" s="10">
        <v>0.31806241287578</v>
      </c>
      <c r="N400" s="10">
        <v>11454</v>
      </c>
      <c r="O400" s="10">
        <v>10360.8</v>
      </c>
      <c r="P400" s="10">
        <v>36011.8</v>
      </c>
      <c r="Q400" s="12">
        <v>0.287705696466158</v>
      </c>
    </row>
    <row r="401" spans="1:17">
      <c r="A401" s="10">
        <v>2018</v>
      </c>
      <c r="B401" s="10" t="s">
        <v>26</v>
      </c>
      <c r="C401" s="11">
        <v>704.125026</v>
      </c>
      <c r="D401" s="11">
        <v>16.777971</v>
      </c>
      <c r="E401" s="11">
        <v>0.043047</v>
      </c>
      <c r="F401" s="10">
        <v>29.38</v>
      </c>
      <c r="G401" s="10">
        <v>644.965467726667</v>
      </c>
      <c r="H401" s="10">
        <v>8446</v>
      </c>
      <c r="I401" s="10">
        <v>6013</v>
      </c>
      <c r="J401" s="12">
        <v>0.711934643618281</v>
      </c>
      <c r="K401" s="10">
        <v>110508</v>
      </c>
      <c r="L401" s="10">
        <v>0.691966607579925</v>
      </c>
      <c r="M401" s="10">
        <v>0.339403653779306</v>
      </c>
      <c r="N401" s="10">
        <v>31635</v>
      </c>
      <c r="O401" s="10">
        <v>42129.4</v>
      </c>
      <c r="P401" s="10">
        <v>93207.6</v>
      </c>
      <c r="Q401" s="12">
        <v>0.451995330852849</v>
      </c>
    </row>
    <row r="402" spans="1:17">
      <c r="A402" s="10">
        <v>2018</v>
      </c>
      <c r="B402" s="10" t="s">
        <v>27</v>
      </c>
      <c r="C402" s="11">
        <v>243.12645</v>
      </c>
      <c r="D402" s="11">
        <v>673.755786</v>
      </c>
      <c r="E402" s="11">
        <v>0.124911</v>
      </c>
      <c r="F402" s="10">
        <v>16.74</v>
      </c>
      <c r="G402" s="10">
        <v>401.65882536</v>
      </c>
      <c r="H402" s="10">
        <v>6273</v>
      </c>
      <c r="I402" s="10">
        <v>4392</v>
      </c>
      <c r="J402" s="12">
        <v>0.700143472022956</v>
      </c>
      <c r="K402" s="10">
        <v>93230</v>
      </c>
      <c r="L402" s="10">
        <v>0.692481785982746</v>
      </c>
      <c r="M402" s="10">
        <v>0.373688856400036</v>
      </c>
      <c r="N402" s="10">
        <v>21675</v>
      </c>
      <c r="O402" s="10">
        <v>25308.1</v>
      </c>
      <c r="P402" s="10">
        <v>58002.8</v>
      </c>
      <c r="Q402" s="12">
        <v>0.436325487735075</v>
      </c>
    </row>
    <row r="403" spans="1:17">
      <c r="A403" s="10">
        <v>2018</v>
      </c>
      <c r="B403" s="10" t="s">
        <v>28</v>
      </c>
      <c r="C403" s="11">
        <v>832.195377</v>
      </c>
      <c r="D403" s="11">
        <v>369.500067</v>
      </c>
      <c r="E403" s="11">
        <v>0.526275</v>
      </c>
      <c r="F403" s="10">
        <v>10.75</v>
      </c>
      <c r="G403" s="10">
        <v>392.428504106667</v>
      </c>
      <c r="H403" s="10">
        <v>6076</v>
      </c>
      <c r="I403" s="10">
        <v>3381</v>
      </c>
      <c r="J403" s="12">
        <v>0.556451612903226</v>
      </c>
      <c r="K403" s="10">
        <v>56063</v>
      </c>
      <c r="L403" s="10">
        <v>1.1538315778373</v>
      </c>
      <c r="M403" s="10">
        <v>0.390904092511518</v>
      </c>
      <c r="N403" s="10">
        <v>13295</v>
      </c>
      <c r="O403" s="10">
        <v>14094.4</v>
      </c>
      <c r="P403" s="10">
        <v>34010.9</v>
      </c>
      <c r="Q403" s="12">
        <v>0.414408322037935</v>
      </c>
    </row>
    <row r="404" spans="1:17">
      <c r="A404" s="10">
        <v>2018</v>
      </c>
      <c r="B404" s="10" t="s">
        <v>29</v>
      </c>
      <c r="C404" s="11">
        <v>161.251146</v>
      </c>
      <c r="D404" s="11">
        <v>1004.330295</v>
      </c>
      <c r="E404" s="11">
        <v>0.522999</v>
      </c>
      <c r="F404" s="10">
        <v>7.21</v>
      </c>
      <c r="G404" s="10">
        <v>254.144822346667</v>
      </c>
      <c r="H404" s="10">
        <v>4104</v>
      </c>
      <c r="I404" s="10">
        <v>2749</v>
      </c>
      <c r="J404" s="12">
        <v>0.669834307992203</v>
      </c>
      <c r="K404" s="10">
        <v>94719</v>
      </c>
      <c r="L404" s="10">
        <v>0.656912055859125</v>
      </c>
      <c r="M404" s="10">
        <v>0.339409322835623</v>
      </c>
      <c r="N404" s="10">
        <v>13131</v>
      </c>
      <c r="O404" s="10">
        <v>18847.8</v>
      </c>
      <c r="P404" s="10">
        <v>38687.8</v>
      </c>
      <c r="Q404" s="12">
        <v>0.487176836108541</v>
      </c>
    </row>
    <row r="405" spans="1:17">
      <c r="A405" s="10">
        <v>2018</v>
      </c>
      <c r="B405" s="10" t="s">
        <v>30</v>
      </c>
      <c r="C405" s="11">
        <v>482.715126</v>
      </c>
      <c r="D405" s="11">
        <v>1067.652684</v>
      </c>
      <c r="E405" s="11">
        <v>0.680913</v>
      </c>
      <c r="F405" s="10">
        <v>6.97</v>
      </c>
      <c r="G405" s="10">
        <v>183.399787933333</v>
      </c>
      <c r="H405" s="10">
        <v>4513</v>
      </c>
      <c r="I405" s="10">
        <v>2588</v>
      </c>
      <c r="J405" s="12">
        <v>0.573454464879238</v>
      </c>
      <c r="K405" s="10">
        <v>50347</v>
      </c>
      <c r="L405" s="10">
        <v>0.807341746894695</v>
      </c>
      <c r="M405" s="10">
        <v>0.408777760658552</v>
      </c>
      <c r="N405" s="10">
        <v>9286</v>
      </c>
      <c r="O405" s="10">
        <v>10081.2</v>
      </c>
      <c r="P405" s="10">
        <v>22716.5</v>
      </c>
      <c r="Q405" s="12">
        <v>0.443783153214624</v>
      </c>
    </row>
    <row r="406" spans="1:17">
      <c r="A406" s="10">
        <v>2018</v>
      </c>
      <c r="B406" s="10" t="s">
        <v>31</v>
      </c>
      <c r="C406" s="11">
        <v>1072.318473</v>
      </c>
      <c r="D406" s="11">
        <v>79.352955</v>
      </c>
      <c r="E406" s="11">
        <v>24.086286</v>
      </c>
      <c r="F406" s="10">
        <v>24.34</v>
      </c>
      <c r="G406" s="10">
        <v>1220.02638254667</v>
      </c>
      <c r="H406" s="10">
        <v>10077</v>
      </c>
      <c r="I406" s="10">
        <v>6193</v>
      </c>
      <c r="J406" s="12">
        <v>0.614567827726506</v>
      </c>
      <c r="K406" s="10">
        <v>66284</v>
      </c>
      <c r="L406" s="10">
        <v>1.8305274093746</v>
      </c>
      <c r="M406" s="10">
        <v>0.608877265791333</v>
      </c>
      <c r="N406" s="10">
        <v>40581</v>
      </c>
      <c r="O406" s="10">
        <v>27523.7</v>
      </c>
      <c r="P406" s="10">
        <v>66648.9</v>
      </c>
      <c r="Q406" s="12">
        <v>0.412965555320493</v>
      </c>
    </row>
    <row r="407" spans="1:17">
      <c r="A407" s="10">
        <v>2018</v>
      </c>
      <c r="B407" s="10" t="s">
        <v>32</v>
      </c>
      <c r="C407" s="11">
        <v>1086.91785</v>
      </c>
      <c r="D407" s="11">
        <v>294.333534</v>
      </c>
      <c r="E407" s="11">
        <v>24.732513</v>
      </c>
      <c r="F407" s="10">
        <v>10.71</v>
      </c>
      <c r="G407" s="10">
        <v>498.134436006667</v>
      </c>
      <c r="H407" s="10">
        <v>9864</v>
      </c>
      <c r="I407" s="10">
        <v>5153</v>
      </c>
      <c r="J407" s="12">
        <v>0.522404703974047</v>
      </c>
      <c r="K407" s="10">
        <v>50714</v>
      </c>
      <c r="L407" s="10">
        <v>0.997547728200887</v>
      </c>
      <c r="M407" s="10">
        <v>0.453761722528281</v>
      </c>
      <c r="N407" s="10">
        <v>22659</v>
      </c>
      <c r="O407" s="10">
        <v>22038.6</v>
      </c>
      <c r="P407" s="10">
        <v>49935.9</v>
      </c>
      <c r="Q407" s="12">
        <v>0.441337795053258</v>
      </c>
    </row>
    <row r="408" spans="1:17">
      <c r="A408" s="10">
        <v>2018</v>
      </c>
      <c r="B408" s="10" t="s">
        <v>33</v>
      </c>
      <c r="C408" s="11">
        <v>814.46643</v>
      </c>
      <c r="D408" s="11">
        <v>904.957299</v>
      </c>
      <c r="E408" s="11">
        <v>2.322801</v>
      </c>
      <c r="F408" s="10">
        <v>9.31</v>
      </c>
      <c r="G408" s="10">
        <v>258.01571996</v>
      </c>
      <c r="H408" s="10">
        <v>5917</v>
      </c>
      <c r="I408" s="10">
        <v>3609</v>
      </c>
      <c r="J408" s="12">
        <v>0.609937468311644</v>
      </c>
      <c r="K408" s="10">
        <v>71097</v>
      </c>
      <c r="L408" s="10">
        <v>0.614001522916568</v>
      </c>
      <c r="M408" s="10">
        <v>0.396982532958926</v>
      </c>
      <c r="N408" s="10">
        <v>16682</v>
      </c>
      <c r="O408" s="10">
        <v>17573.9</v>
      </c>
      <c r="P408" s="10">
        <v>42022</v>
      </c>
      <c r="Q408" s="12">
        <v>0.418207129598782</v>
      </c>
    </row>
    <row r="409" spans="1:17">
      <c r="A409" s="10">
        <v>2018</v>
      </c>
      <c r="B409" s="10" t="s">
        <v>34</v>
      </c>
      <c r="C409" s="11">
        <v>715.921659</v>
      </c>
      <c r="D409" s="11">
        <v>1308.258558</v>
      </c>
      <c r="E409" s="11">
        <v>0.63126</v>
      </c>
      <c r="F409" s="10">
        <v>7.24</v>
      </c>
      <c r="G409" s="10">
        <v>243.246122013333</v>
      </c>
      <c r="H409" s="10">
        <v>6635</v>
      </c>
      <c r="I409" s="10">
        <v>3722</v>
      </c>
      <c r="J409" s="12">
        <v>0.560964581763376</v>
      </c>
      <c r="K409" s="10">
        <v>54763</v>
      </c>
      <c r="L409" s="10">
        <v>0.669551694655704</v>
      </c>
      <c r="M409" s="10">
        <v>0.427859299691437</v>
      </c>
      <c r="N409" s="10">
        <v>15544</v>
      </c>
      <c r="O409" s="10">
        <v>13904.1</v>
      </c>
      <c r="P409" s="10">
        <v>36329.7</v>
      </c>
      <c r="Q409" s="12">
        <v>0.382719923368484</v>
      </c>
    </row>
    <row r="410" spans="1:17">
      <c r="A410" s="10">
        <v>2018</v>
      </c>
      <c r="B410" s="10" t="s">
        <v>35</v>
      </c>
      <c r="C410" s="11">
        <v>461.393496</v>
      </c>
      <c r="D410" s="11">
        <v>1149.652188</v>
      </c>
      <c r="E410" s="11">
        <v>1.207629</v>
      </c>
      <c r="F410" s="10">
        <v>48.54</v>
      </c>
      <c r="G410" s="10">
        <v>557.27838396</v>
      </c>
      <c r="H410" s="10">
        <v>12348</v>
      </c>
      <c r="I410" s="10">
        <v>8867</v>
      </c>
      <c r="J410" s="12">
        <v>0.718091998704244</v>
      </c>
      <c r="K410" s="10">
        <v>81625</v>
      </c>
      <c r="L410" s="10">
        <v>0.557583939959098</v>
      </c>
      <c r="M410" s="10">
        <v>0.333482748546203</v>
      </c>
      <c r="N410" s="10">
        <v>33330</v>
      </c>
      <c r="O410" s="10">
        <v>41398.5</v>
      </c>
      <c r="P410" s="10">
        <v>99945.2</v>
      </c>
      <c r="Q410" s="12">
        <v>0.414211988169517</v>
      </c>
    </row>
    <row r="411" spans="1:17">
      <c r="A411" s="10">
        <v>2018</v>
      </c>
      <c r="B411" s="10" t="s">
        <v>36</v>
      </c>
      <c r="C411" s="11">
        <v>574.696674</v>
      </c>
      <c r="D411" s="11">
        <v>1678.724802</v>
      </c>
      <c r="E411" s="11">
        <v>1.616175</v>
      </c>
      <c r="F411" s="10">
        <v>9.21</v>
      </c>
      <c r="G411" s="10">
        <v>209.36892696</v>
      </c>
      <c r="H411" s="10">
        <v>4947</v>
      </c>
      <c r="I411" s="10">
        <v>2564</v>
      </c>
      <c r="J411" s="12">
        <v>0.518293915504346</v>
      </c>
      <c r="K411" s="10">
        <v>39837</v>
      </c>
      <c r="L411" s="10">
        <v>1.0666958444655</v>
      </c>
      <c r="M411" s="10">
        <v>0.551411773097342</v>
      </c>
      <c r="N411" s="10">
        <v>10823</v>
      </c>
      <c r="O411" s="10">
        <v>6692.9</v>
      </c>
      <c r="P411" s="10">
        <v>19627.8</v>
      </c>
      <c r="Q411" s="12">
        <v>0.340990839523533</v>
      </c>
    </row>
    <row r="412" spans="1:17">
      <c r="A412" s="10">
        <v>2018</v>
      </c>
      <c r="B412" s="10" t="s">
        <v>37</v>
      </c>
      <c r="C412" s="11">
        <v>101.695203</v>
      </c>
      <c r="D412" s="11">
        <v>224.708175</v>
      </c>
      <c r="E412" s="11">
        <v>0.256563</v>
      </c>
      <c r="F412" s="10">
        <v>1.74</v>
      </c>
      <c r="G412" s="10">
        <v>63.8322029333333</v>
      </c>
      <c r="H412" s="10">
        <v>982</v>
      </c>
      <c r="I412" s="10">
        <v>581</v>
      </c>
      <c r="J412" s="12">
        <v>0.591649694501018</v>
      </c>
      <c r="K412" s="10">
        <v>50263</v>
      </c>
      <c r="L412" s="10">
        <v>1.29985955023384</v>
      </c>
      <c r="M412" s="10">
        <v>0.441892194595475</v>
      </c>
      <c r="N412" s="10">
        <v>2170</v>
      </c>
      <c r="O412" s="10">
        <v>1053.1</v>
      </c>
      <c r="P412" s="10">
        <v>4910.7</v>
      </c>
      <c r="Q412" s="12">
        <v>0.214450078400228</v>
      </c>
    </row>
    <row r="413" spans="1:17">
      <c r="A413" s="10">
        <v>2018</v>
      </c>
      <c r="B413" s="10" t="s">
        <v>38</v>
      </c>
      <c r="C413" s="11">
        <v>360.500211</v>
      </c>
      <c r="D413" s="11">
        <v>433.154376</v>
      </c>
      <c r="E413" s="11">
        <v>0.637407</v>
      </c>
      <c r="F413" s="10">
        <v>6.48</v>
      </c>
      <c r="G413" s="10">
        <v>123.803835026667</v>
      </c>
      <c r="H413" s="10">
        <v>3163</v>
      </c>
      <c r="I413" s="10">
        <v>2107</v>
      </c>
      <c r="J413" s="12">
        <v>0.66613974075245</v>
      </c>
      <c r="K413" s="10">
        <v>68460</v>
      </c>
      <c r="L413" s="10">
        <v>0.573463254218237</v>
      </c>
      <c r="M413" s="10">
        <v>0.39636292892611</v>
      </c>
      <c r="N413" s="10">
        <v>8557</v>
      </c>
      <c r="O413" s="10">
        <v>8842.2</v>
      </c>
      <c r="P413" s="10">
        <v>21588.8</v>
      </c>
      <c r="Q413" s="12">
        <v>0.409573482546506</v>
      </c>
    </row>
    <row r="414" spans="1:17">
      <c r="A414" s="10">
        <v>2018</v>
      </c>
      <c r="B414" s="10" t="s">
        <v>39</v>
      </c>
      <c r="C414" s="11">
        <v>1138.411764</v>
      </c>
      <c r="D414" s="11">
        <v>1937.552625</v>
      </c>
      <c r="E414" s="11">
        <v>1610.575335</v>
      </c>
      <c r="F414" s="10">
        <v>11.35</v>
      </c>
      <c r="G414" s="10">
        <v>255.304670413333</v>
      </c>
      <c r="H414" s="10">
        <v>8321</v>
      </c>
      <c r="I414" s="10">
        <v>4452</v>
      </c>
      <c r="J414" s="12">
        <v>0.535031847133758</v>
      </c>
      <c r="K414" s="10">
        <v>51658</v>
      </c>
      <c r="L414" s="10">
        <v>0.595086651733443</v>
      </c>
      <c r="M414" s="10">
        <v>0.464219700201156</v>
      </c>
      <c r="N414" s="10">
        <v>19916</v>
      </c>
      <c r="O414" s="10">
        <v>16056.9</v>
      </c>
      <c r="P414" s="10">
        <v>42902.1</v>
      </c>
      <c r="Q414" s="12">
        <v>0.374268392456313</v>
      </c>
    </row>
    <row r="415" spans="1:17">
      <c r="A415" s="10">
        <v>2018</v>
      </c>
      <c r="B415" s="10" t="s">
        <v>40</v>
      </c>
      <c r="C415" s="11">
        <v>601.017678</v>
      </c>
      <c r="D415" s="11">
        <v>1058.44374</v>
      </c>
      <c r="E415" s="11">
        <v>25.488351</v>
      </c>
      <c r="F415" s="10">
        <v>5.16</v>
      </c>
      <c r="G415" s="10">
        <v>291.449473473333</v>
      </c>
      <c r="H415" s="10">
        <v>3822</v>
      </c>
      <c r="I415" s="10">
        <v>1893</v>
      </c>
      <c r="J415" s="12">
        <v>0.495290423861852</v>
      </c>
      <c r="K415" s="10">
        <v>40271</v>
      </c>
      <c r="L415" s="10">
        <v>1.89829790189233</v>
      </c>
      <c r="M415" s="10">
        <v>0.653674803949665</v>
      </c>
      <c r="N415" s="10">
        <v>10036</v>
      </c>
      <c r="O415" s="10">
        <v>5506.2</v>
      </c>
      <c r="P415" s="10">
        <v>15353.2</v>
      </c>
      <c r="Q415" s="12">
        <v>0.358635333350702</v>
      </c>
    </row>
    <row r="416" spans="1:17">
      <c r="A416" s="10">
        <v>2018</v>
      </c>
      <c r="B416" s="10" t="s">
        <v>41</v>
      </c>
      <c r="C416" s="11">
        <v>826.093755</v>
      </c>
      <c r="D416" s="11">
        <v>2623.049802</v>
      </c>
      <c r="E416" s="11">
        <v>238.498353</v>
      </c>
      <c r="F416" s="10">
        <v>4.64</v>
      </c>
      <c r="G416" s="10">
        <v>205.48207936</v>
      </c>
      <c r="H416" s="10">
        <v>4703</v>
      </c>
      <c r="I416" s="10">
        <v>2231</v>
      </c>
      <c r="J416" s="12">
        <v>0.474378056559643</v>
      </c>
      <c r="K416" s="10">
        <v>44446</v>
      </c>
      <c r="L416" s="10">
        <v>0.98408129728073</v>
      </c>
      <c r="M416" s="10">
        <v>0.555060678332998</v>
      </c>
      <c r="N416" s="10">
        <v>11590</v>
      </c>
      <c r="O416" s="10">
        <v>7267.5</v>
      </c>
      <c r="P416" s="10">
        <v>20880.6</v>
      </c>
      <c r="Q416" s="12">
        <v>0.348050343380937</v>
      </c>
    </row>
    <row r="417" spans="1:17">
      <c r="A417" s="10">
        <v>2018</v>
      </c>
      <c r="B417" s="10" t="s">
        <v>42</v>
      </c>
      <c r="C417" s="11">
        <v>507.90879</v>
      </c>
      <c r="D417" s="11">
        <v>927.826551</v>
      </c>
      <c r="E417" s="11">
        <v>557.306469</v>
      </c>
      <c r="F417" s="10">
        <v>7.13</v>
      </c>
      <c r="G417" s="10">
        <v>576.34585536</v>
      </c>
      <c r="H417" s="10">
        <v>3931</v>
      </c>
      <c r="I417" s="10">
        <v>2345</v>
      </c>
      <c r="J417" s="12">
        <v>0.596540320529127</v>
      </c>
      <c r="K417" s="10">
        <v>61115</v>
      </c>
      <c r="L417" s="10">
        <v>2.40726866021494</v>
      </c>
      <c r="M417" s="10">
        <v>0.538804355544046</v>
      </c>
      <c r="N417" s="10">
        <v>12900</v>
      </c>
      <c r="O417" s="10">
        <v>11215.3</v>
      </c>
      <c r="P417" s="10">
        <v>23941.9</v>
      </c>
      <c r="Q417" s="12">
        <v>0.468438177421174</v>
      </c>
    </row>
    <row r="418" spans="1:17">
      <c r="A418" s="10">
        <v>2018</v>
      </c>
      <c r="B418" s="10" t="s">
        <v>43</v>
      </c>
      <c r="C418" s="11">
        <v>528.281523</v>
      </c>
      <c r="D418" s="11">
        <v>384.326505</v>
      </c>
      <c r="E418" s="11">
        <v>1574.398521</v>
      </c>
      <c r="F418" s="10">
        <v>2.72</v>
      </c>
      <c r="G418" s="10">
        <v>182.496485733333</v>
      </c>
      <c r="H418" s="10">
        <v>2515</v>
      </c>
      <c r="I418" s="10">
        <v>1250</v>
      </c>
      <c r="J418" s="12">
        <v>0.497017892644135</v>
      </c>
      <c r="K418" s="10">
        <v>32178</v>
      </c>
      <c r="L418" s="10">
        <v>2.25190318151717</v>
      </c>
      <c r="M418" s="10">
        <v>0.965313853481571</v>
      </c>
      <c r="N418" s="10">
        <v>7823</v>
      </c>
      <c r="O418" s="10">
        <v>2761.6</v>
      </c>
      <c r="P418" s="10">
        <v>8104.1</v>
      </c>
      <c r="Q418" s="12">
        <v>0.340765785219827</v>
      </c>
    </row>
    <row r="419" spans="1:17">
      <c r="A419" s="10">
        <v>2018</v>
      </c>
      <c r="B419" s="10" t="s">
        <v>44</v>
      </c>
      <c r="C419" s="11">
        <v>53.856423</v>
      </c>
      <c r="D419" s="11">
        <v>62.467065</v>
      </c>
      <c r="E419" s="11">
        <v>4577.874795</v>
      </c>
      <c r="F419" s="10">
        <v>0.67</v>
      </c>
      <c r="G419" s="10">
        <v>49.05520486</v>
      </c>
      <c r="H419" s="10">
        <v>587</v>
      </c>
      <c r="I419" s="10">
        <v>336</v>
      </c>
      <c r="J419" s="12">
        <v>0.572402044293015</v>
      </c>
      <c r="K419" s="10">
        <v>46854</v>
      </c>
      <c r="L419" s="10">
        <v>1.78512390320233</v>
      </c>
      <c r="M419" s="10">
        <v>1.58806404657933</v>
      </c>
      <c r="N419" s="10">
        <v>4364</v>
      </c>
      <c r="O419" s="10">
        <v>1093.7</v>
      </c>
      <c r="P419" s="10">
        <v>2748</v>
      </c>
      <c r="Q419" s="12">
        <v>0.397998544395924</v>
      </c>
    </row>
    <row r="420" spans="1:17">
      <c r="A420" s="10">
        <v>2018</v>
      </c>
      <c r="B420" s="10" t="s">
        <v>45</v>
      </c>
      <c r="C420" s="11">
        <v>135.796761</v>
      </c>
      <c r="D420" s="11">
        <v>8.138646</v>
      </c>
      <c r="E420" s="11">
        <v>345.158982</v>
      </c>
      <c r="F420" s="10">
        <v>2.51</v>
      </c>
      <c r="G420" s="10">
        <v>235.934728093333</v>
      </c>
      <c r="H420" s="10">
        <v>710</v>
      </c>
      <c r="I420" s="10">
        <v>441</v>
      </c>
      <c r="J420" s="12">
        <v>0.62112676056338</v>
      </c>
      <c r="K420" s="10">
        <v>49614</v>
      </c>
      <c r="L420" s="10">
        <v>6.72140413917536</v>
      </c>
      <c r="M420" s="10">
        <v>2.02267677055438</v>
      </c>
      <c r="N420" s="10">
        <v>7100</v>
      </c>
      <c r="O420" s="10">
        <v>1488.1</v>
      </c>
      <c r="P420" s="10">
        <v>3510.2</v>
      </c>
      <c r="Q420" s="12">
        <v>0.423935958065068</v>
      </c>
    </row>
    <row r="421" spans="1:17">
      <c r="A421" s="10">
        <v>2018</v>
      </c>
      <c r="B421" s="10" t="s">
        <v>46</v>
      </c>
      <c r="C421" s="11">
        <v>861.063966</v>
      </c>
      <c r="D421" s="11">
        <v>181.108098</v>
      </c>
      <c r="E421" s="11">
        <v>3777.468516</v>
      </c>
      <c r="F421" s="10">
        <v>7.29</v>
      </c>
      <c r="G421" s="10">
        <v>480.946054513333</v>
      </c>
      <c r="H421" s="10">
        <v>2520</v>
      </c>
      <c r="I421" s="10">
        <v>1361</v>
      </c>
      <c r="J421" s="12">
        <v>0.540079365079365</v>
      </c>
      <c r="K421" s="10">
        <v>51238</v>
      </c>
      <c r="L421" s="10">
        <v>3.75463374173133</v>
      </c>
      <c r="M421" s="10">
        <v>1.38132933626868</v>
      </c>
      <c r="N421" s="10">
        <v>17694</v>
      </c>
      <c r="O421" s="10">
        <v>4657.2</v>
      </c>
      <c r="P421" s="10">
        <v>12809.4</v>
      </c>
      <c r="Q421" s="12">
        <v>0.363576748325449</v>
      </c>
    </row>
    <row r="422" spans="1:17">
      <c r="A422" s="10">
        <v>2019</v>
      </c>
      <c r="B422" s="10" t="s">
        <v>17</v>
      </c>
      <c r="C422" s="11">
        <v>42.158889</v>
      </c>
      <c r="D422" s="11">
        <v>79.75521</v>
      </c>
      <c r="E422" s="11">
        <v>3.569409</v>
      </c>
      <c r="F422" s="10">
        <v>8.87</v>
      </c>
      <c r="G422" s="10">
        <v>71.6408603222222</v>
      </c>
      <c r="H422" s="10">
        <v>2190</v>
      </c>
      <c r="I422" s="10">
        <v>1913</v>
      </c>
      <c r="J422" s="12">
        <v>0.87351598173516</v>
      </c>
      <c r="K422" s="10">
        <v>161776</v>
      </c>
      <c r="L422" s="10">
        <v>0.202117811269321</v>
      </c>
      <c r="M422" s="10">
        <v>0.20764506236405</v>
      </c>
      <c r="N422" s="10">
        <v>7360</v>
      </c>
      <c r="O422" s="10">
        <v>5667.4</v>
      </c>
      <c r="P422" s="10">
        <v>35445.1</v>
      </c>
      <c r="Q422" s="12">
        <v>0.159892340549187</v>
      </c>
    </row>
    <row r="423" spans="1:17">
      <c r="A423" s="10">
        <v>2019</v>
      </c>
      <c r="B423" s="10" t="s">
        <v>18</v>
      </c>
      <c r="C423" s="11">
        <v>62.947899</v>
      </c>
      <c r="D423" s="11">
        <v>3.437757</v>
      </c>
      <c r="E423" s="11">
        <v>0.20448</v>
      </c>
      <c r="F423" s="10">
        <v>4.29</v>
      </c>
      <c r="G423" s="10">
        <v>137.717335844444</v>
      </c>
      <c r="H423" s="10">
        <v>1385</v>
      </c>
      <c r="I423" s="10">
        <v>1168</v>
      </c>
      <c r="J423" s="12">
        <v>0.843321299638989</v>
      </c>
      <c r="K423" s="10">
        <v>101557</v>
      </c>
      <c r="L423" s="10">
        <v>0.97981100526089</v>
      </c>
      <c r="M423" s="10">
        <v>0.586318522998115</v>
      </c>
      <c r="N423" s="10">
        <v>8241</v>
      </c>
      <c r="O423" s="10">
        <v>4947.2</v>
      </c>
      <c r="P423" s="10">
        <v>14055.5</v>
      </c>
      <c r="Q423" s="12">
        <v>0.351976094767173</v>
      </c>
    </row>
    <row r="424" spans="1:17">
      <c r="A424" s="10">
        <v>2019</v>
      </c>
      <c r="B424" s="10" t="s">
        <v>19</v>
      </c>
      <c r="C424" s="11">
        <v>845.011836</v>
      </c>
      <c r="D424" s="11">
        <v>448.863507</v>
      </c>
      <c r="E424" s="11">
        <v>315.568179</v>
      </c>
      <c r="F424" s="10">
        <v>9.37</v>
      </c>
      <c r="G424" s="10">
        <v>593.430349666667</v>
      </c>
      <c r="H424" s="10">
        <v>7447</v>
      </c>
      <c r="I424" s="10">
        <v>4377</v>
      </c>
      <c r="J424" s="12">
        <v>0.587753457768229</v>
      </c>
      <c r="K424" s="10">
        <v>47036</v>
      </c>
      <c r="L424" s="10">
        <v>1.69655260549784</v>
      </c>
      <c r="M424" s="10">
        <v>0.930426031916658</v>
      </c>
      <c r="N424" s="10">
        <v>32545</v>
      </c>
      <c r="O424" s="10">
        <v>13393.7</v>
      </c>
      <c r="P424" s="10">
        <v>34978.6</v>
      </c>
      <c r="Q424" s="12">
        <v>0.382911265745341</v>
      </c>
    </row>
    <row r="425" spans="1:17">
      <c r="A425" s="10">
        <v>2019</v>
      </c>
      <c r="B425" s="10" t="s">
        <v>20</v>
      </c>
      <c r="C425" s="11">
        <v>565.68906</v>
      </c>
      <c r="D425" s="11">
        <v>402.183972</v>
      </c>
      <c r="E425" s="11">
        <v>506.006298</v>
      </c>
      <c r="F425" s="10">
        <v>5.14</v>
      </c>
      <c r="G425" s="10">
        <v>1698.43565053333</v>
      </c>
      <c r="H425" s="10">
        <v>3497</v>
      </c>
      <c r="I425" s="10">
        <v>2143</v>
      </c>
      <c r="J425" s="12">
        <v>0.612810980840721</v>
      </c>
      <c r="K425" s="10">
        <v>48469</v>
      </c>
      <c r="L425" s="10">
        <v>10.01341648508</v>
      </c>
      <c r="M425" s="10">
        <v>1.22977785114612</v>
      </c>
      <c r="N425" s="10">
        <v>20859</v>
      </c>
      <c r="O425" s="10">
        <v>7466.3</v>
      </c>
      <c r="P425" s="10">
        <v>16961.6</v>
      </c>
      <c r="Q425" s="12">
        <v>0.440188425620225</v>
      </c>
    </row>
    <row r="426" spans="1:17">
      <c r="A426" s="10">
        <v>2019</v>
      </c>
      <c r="B426" s="10" t="s">
        <v>21</v>
      </c>
      <c r="C426" s="11">
        <v>1367.415162</v>
      </c>
      <c r="D426" s="11">
        <v>1797.540777</v>
      </c>
      <c r="E426" s="11">
        <v>5460.435225</v>
      </c>
      <c r="F426" s="10">
        <v>6.91</v>
      </c>
      <c r="G426" s="10">
        <v>972.78727886</v>
      </c>
      <c r="H426" s="10">
        <v>2415</v>
      </c>
      <c r="I426" s="10">
        <v>1605</v>
      </c>
      <c r="J426" s="12">
        <v>0.664596273291925</v>
      </c>
      <c r="K426" s="10">
        <v>71170</v>
      </c>
      <c r="L426" s="10">
        <v>5.65163270216412</v>
      </c>
      <c r="M426" s="10">
        <v>1.47253449527959</v>
      </c>
      <c r="N426" s="10">
        <v>25346</v>
      </c>
      <c r="O426" s="10">
        <v>6763.1</v>
      </c>
      <c r="P426" s="10">
        <v>17212.5</v>
      </c>
      <c r="Q426" s="12">
        <v>0.392917937545389</v>
      </c>
    </row>
    <row r="427" spans="1:17">
      <c r="A427" s="10">
        <v>2019</v>
      </c>
      <c r="B427" s="10" t="s">
        <v>22</v>
      </c>
      <c r="C427" s="11">
        <v>710.936244</v>
      </c>
      <c r="D427" s="11">
        <v>514.901655</v>
      </c>
      <c r="E427" s="11">
        <v>62.308278</v>
      </c>
      <c r="F427" s="10">
        <v>12.81</v>
      </c>
      <c r="G427" s="10">
        <v>628.028191366667</v>
      </c>
      <c r="H427" s="10">
        <v>4277</v>
      </c>
      <c r="I427" s="10">
        <v>3046</v>
      </c>
      <c r="J427" s="12">
        <v>0.712181435585691</v>
      </c>
      <c r="K427" s="10">
        <v>58019</v>
      </c>
      <c r="L427" s="10">
        <v>2.52673752224542</v>
      </c>
      <c r="M427" s="10">
        <v>0.955490378309656</v>
      </c>
      <c r="N427" s="10">
        <v>23749</v>
      </c>
      <c r="O427" s="10">
        <v>9475.9</v>
      </c>
      <c r="P427" s="10">
        <v>24855.3</v>
      </c>
      <c r="Q427" s="12">
        <v>0.381242632356077</v>
      </c>
    </row>
    <row r="428" spans="1:17">
      <c r="A428" s="10">
        <v>2019</v>
      </c>
      <c r="B428" s="10" t="s">
        <v>23</v>
      </c>
      <c r="C428" s="11">
        <v>897.727581</v>
      </c>
      <c r="D428" s="11">
        <v>824.228055</v>
      </c>
      <c r="E428" s="11">
        <v>49.749867</v>
      </c>
      <c r="F428" s="10">
        <v>9</v>
      </c>
      <c r="G428" s="10">
        <v>197.765440786533</v>
      </c>
      <c r="H428" s="10">
        <v>2448</v>
      </c>
      <c r="I428" s="10">
        <v>1509</v>
      </c>
      <c r="J428" s="12">
        <v>0.616421568627451</v>
      </c>
      <c r="K428" s="10">
        <v>47554</v>
      </c>
      <c r="L428" s="10">
        <v>1.68643995622449</v>
      </c>
      <c r="M428" s="10">
        <v>0.608179554524679</v>
      </c>
      <c r="N428" s="10">
        <v>7132</v>
      </c>
      <c r="O428" s="10">
        <v>4134.8</v>
      </c>
      <c r="P428" s="10">
        <v>11726.8</v>
      </c>
      <c r="Q428" s="12">
        <v>0.352594058055053</v>
      </c>
    </row>
    <row r="429" spans="1:17">
      <c r="A429" s="10">
        <v>2019</v>
      </c>
      <c r="B429" s="10" t="s">
        <v>24</v>
      </c>
      <c r="C429" s="11">
        <v>2028.061026</v>
      </c>
      <c r="D429" s="11">
        <v>2232.774225</v>
      </c>
      <c r="E429" s="11">
        <v>55.446804</v>
      </c>
      <c r="F429" s="10">
        <v>6.87</v>
      </c>
      <c r="G429" s="10">
        <v>341.139567033333</v>
      </c>
      <c r="H429" s="10">
        <v>3255</v>
      </c>
      <c r="I429" s="10">
        <v>2103</v>
      </c>
      <c r="J429" s="12">
        <v>0.646082949308756</v>
      </c>
      <c r="K429" s="10">
        <v>41156</v>
      </c>
      <c r="L429" s="10">
        <v>2.51867610992981</v>
      </c>
      <c r="M429" s="10">
        <v>0.857476152505833</v>
      </c>
      <c r="N429" s="10">
        <v>11614</v>
      </c>
      <c r="O429" s="10">
        <v>3640.1</v>
      </c>
      <c r="P429" s="10">
        <v>13544.4</v>
      </c>
      <c r="Q429" s="12">
        <v>0.26875313782818</v>
      </c>
    </row>
    <row r="430" spans="1:17">
      <c r="A430" s="10">
        <v>2019</v>
      </c>
      <c r="B430" s="10" t="s">
        <v>25</v>
      </c>
      <c r="C430" s="11">
        <v>42.38037</v>
      </c>
      <c r="D430" s="11">
        <v>0.094428</v>
      </c>
      <c r="E430" s="11">
        <v>0.000945</v>
      </c>
      <c r="F430" s="10">
        <v>15.78</v>
      </c>
      <c r="G430" s="10">
        <v>159.497303606667</v>
      </c>
      <c r="H430" s="10">
        <v>2481</v>
      </c>
      <c r="I430" s="10">
        <v>2214</v>
      </c>
      <c r="J430" s="12">
        <v>0.892382103990326</v>
      </c>
      <c r="K430" s="10">
        <v>153299</v>
      </c>
      <c r="L430" s="10">
        <v>0.419866755485123</v>
      </c>
      <c r="M430" s="10">
        <v>0.307889943034043</v>
      </c>
      <c r="N430" s="10">
        <v>11696</v>
      </c>
      <c r="O430" s="10">
        <v>10193.6</v>
      </c>
      <c r="P430" s="10">
        <v>37987.6</v>
      </c>
      <c r="Q430" s="12">
        <v>0.268340195221599</v>
      </c>
    </row>
    <row r="431" spans="1:17">
      <c r="A431" s="10">
        <v>2019</v>
      </c>
      <c r="B431" s="10" t="s">
        <v>26</v>
      </c>
      <c r="C431" s="11">
        <v>703.958661</v>
      </c>
      <c r="D431" s="11">
        <v>16.422588</v>
      </c>
      <c r="E431" s="11">
        <v>0.041337</v>
      </c>
      <c r="F431" s="10">
        <v>29.85</v>
      </c>
      <c r="G431" s="10">
        <v>636.582048586667</v>
      </c>
      <c r="H431" s="10">
        <v>8469</v>
      </c>
      <c r="I431" s="10">
        <v>6137</v>
      </c>
      <c r="J431" s="12">
        <v>0.724642814972252</v>
      </c>
      <c r="K431" s="10">
        <v>116650</v>
      </c>
      <c r="L431" s="10">
        <v>0.645249033606063</v>
      </c>
      <c r="M431" s="10">
        <v>0.32968837424283</v>
      </c>
      <c r="N431" s="10">
        <v>32526</v>
      </c>
      <c r="O431" s="10">
        <v>43507.5</v>
      </c>
      <c r="P431" s="10">
        <v>98656.8</v>
      </c>
      <c r="Q431" s="12">
        <v>0.440998491741066</v>
      </c>
    </row>
    <row r="432" spans="1:17">
      <c r="A432" s="10">
        <v>2019</v>
      </c>
      <c r="B432" s="10" t="s">
        <v>27</v>
      </c>
      <c r="C432" s="11">
        <v>243.689418</v>
      </c>
      <c r="D432" s="11">
        <v>671.871699</v>
      </c>
      <c r="E432" s="11">
        <v>0.114876</v>
      </c>
      <c r="F432" s="10">
        <v>17.23</v>
      </c>
      <c r="G432" s="10">
        <v>419.14662584</v>
      </c>
      <c r="H432" s="10">
        <v>6375</v>
      </c>
      <c r="I432" s="10">
        <v>4563</v>
      </c>
      <c r="J432" s="12">
        <v>0.715764705882353</v>
      </c>
      <c r="K432" s="10">
        <v>98770</v>
      </c>
      <c r="L432" s="10">
        <v>0.671042595241907</v>
      </c>
      <c r="M432" s="10">
        <v>0.358505971630751</v>
      </c>
      <c r="N432" s="10">
        <v>22393</v>
      </c>
      <c r="O432" s="10">
        <v>26299.5</v>
      </c>
      <c r="P432" s="10">
        <v>62462</v>
      </c>
      <c r="Q432" s="12">
        <v>0.421047997182287</v>
      </c>
    </row>
    <row r="433" spans="1:17">
      <c r="A433" s="10">
        <v>2019</v>
      </c>
      <c r="B433" s="10" t="s">
        <v>28</v>
      </c>
      <c r="C433" s="11">
        <v>833.957145</v>
      </c>
      <c r="D433" s="11">
        <v>367.165134</v>
      </c>
      <c r="E433" s="11">
        <v>0.456309</v>
      </c>
      <c r="F433" s="10">
        <v>11.43</v>
      </c>
      <c r="G433" s="10">
        <v>398.962470933333</v>
      </c>
      <c r="H433" s="10">
        <v>6092</v>
      </c>
      <c r="I433" s="10">
        <v>3474</v>
      </c>
      <c r="J433" s="12">
        <v>0.570256073539068</v>
      </c>
      <c r="K433" s="10">
        <v>60561</v>
      </c>
      <c r="L433" s="10">
        <v>1.08279836325558</v>
      </c>
      <c r="M433" s="10">
        <v>0.376436742614431</v>
      </c>
      <c r="N433" s="10">
        <v>13870</v>
      </c>
      <c r="O433" s="10">
        <v>14970</v>
      </c>
      <c r="P433" s="10">
        <v>36845.5</v>
      </c>
      <c r="Q433" s="12">
        <v>0.406291134602597</v>
      </c>
    </row>
    <row r="434" spans="1:17">
      <c r="A434" s="10">
        <v>2019</v>
      </c>
      <c r="B434" s="10" t="s">
        <v>29</v>
      </c>
      <c r="C434" s="11">
        <v>164.080269</v>
      </c>
      <c r="D434" s="11">
        <v>1000.787886</v>
      </c>
      <c r="E434" s="11">
        <v>0.499716</v>
      </c>
      <c r="F434" s="10">
        <v>7.39</v>
      </c>
      <c r="G434" s="10">
        <v>275.973384166667</v>
      </c>
      <c r="H434" s="10">
        <v>4137</v>
      </c>
      <c r="I434" s="10">
        <v>2808</v>
      </c>
      <c r="J434" s="12">
        <v>0.678752719361856</v>
      </c>
      <c r="K434" s="10">
        <v>102722</v>
      </c>
      <c r="L434" s="10">
        <v>0.652009337311919</v>
      </c>
      <c r="M434" s="10">
        <v>0.324098793666394</v>
      </c>
      <c r="N434" s="10">
        <v>13718</v>
      </c>
      <c r="O434" s="10">
        <v>20065.5</v>
      </c>
      <c r="P434" s="10">
        <v>42326.6</v>
      </c>
      <c r="Q434" s="12">
        <v>0.474063591216871</v>
      </c>
    </row>
    <row r="435" spans="1:17">
      <c r="A435" s="10">
        <v>2019</v>
      </c>
      <c r="B435" s="10" t="s">
        <v>30</v>
      </c>
      <c r="C435" s="11">
        <v>485.985366</v>
      </c>
      <c r="D435" s="11">
        <v>1063.098099</v>
      </c>
      <c r="E435" s="11">
        <v>0.634671</v>
      </c>
      <c r="F435" s="10">
        <v>7.19</v>
      </c>
      <c r="G435" s="10">
        <v>186.177090833333</v>
      </c>
      <c r="H435" s="10">
        <v>4516</v>
      </c>
      <c r="I435" s="10">
        <v>2668</v>
      </c>
      <c r="J435" s="12">
        <v>0.590788308237378</v>
      </c>
      <c r="K435" s="10">
        <v>54640</v>
      </c>
      <c r="L435" s="10">
        <v>0.754752611081608</v>
      </c>
      <c r="M435" s="10">
        <v>0.391814264228351</v>
      </c>
      <c r="N435" s="10">
        <v>9665</v>
      </c>
      <c r="O435" s="10">
        <v>10820.3</v>
      </c>
      <c r="P435" s="10">
        <v>24667.3</v>
      </c>
      <c r="Q435" s="12">
        <v>0.438649548187276</v>
      </c>
    </row>
    <row r="436" spans="1:17">
      <c r="A436" s="10">
        <v>2019</v>
      </c>
      <c r="B436" s="10" t="s">
        <v>31</v>
      </c>
      <c r="C436" s="11">
        <v>1068.525576</v>
      </c>
      <c r="D436" s="11">
        <v>79.503471</v>
      </c>
      <c r="E436" s="11">
        <v>22.651335</v>
      </c>
      <c r="F436" s="10">
        <v>25.23</v>
      </c>
      <c r="G436" s="10">
        <v>1244.7052188</v>
      </c>
      <c r="H436" s="10">
        <v>10106</v>
      </c>
      <c r="I436" s="10">
        <v>6252</v>
      </c>
      <c r="J436" s="12">
        <v>0.618642390659014</v>
      </c>
      <c r="K436" s="10">
        <v>69901</v>
      </c>
      <c r="L436" s="10">
        <v>1.76452565377336</v>
      </c>
      <c r="M436" s="10">
        <v>0.586755126487621</v>
      </c>
      <c r="N436" s="10">
        <v>41390</v>
      </c>
      <c r="O436" s="10">
        <v>28171.8</v>
      </c>
      <c r="P436" s="10">
        <v>70540.5</v>
      </c>
      <c r="Q436" s="12">
        <v>0.399370574350905</v>
      </c>
    </row>
    <row r="437" spans="1:17">
      <c r="A437" s="10">
        <v>2019</v>
      </c>
      <c r="B437" s="10" t="s">
        <v>32</v>
      </c>
      <c r="C437" s="11">
        <v>1086.350031</v>
      </c>
      <c r="D437" s="11">
        <v>295.969653</v>
      </c>
      <c r="E437" s="11">
        <v>20.658627</v>
      </c>
      <c r="F437" s="10">
        <v>11.53</v>
      </c>
      <c r="G437" s="10">
        <v>463.998283773333</v>
      </c>
      <c r="H437" s="10">
        <v>9901</v>
      </c>
      <c r="I437" s="10">
        <v>5348</v>
      </c>
      <c r="J437" s="12">
        <v>0.54014745985254</v>
      </c>
      <c r="K437" s="10">
        <v>54356</v>
      </c>
      <c r="L437" s="10">
        <v>0.863770079514301</v>
      </c>
      <c r="M437" s="10">
        <v>0.41513241420907</v>
      </c>
      <c r="N437" s="10">
        <v>22300</v>
      </c>
      <c r="O437" s="10">
        <v>23035.6</v>
      </c>
      <c r="P437" s="10">
        <v>53717.8</v>
      </c>
      <c r="Q437" s="12">
        <v>0.428826199136971</v>
      </c>
    </row>
    <row r="438" spans="1:17">
      <c r="A438" s="10">
        <v>2019</v>
      </c>
      <c r="B438" s="10" t="s">
        <v>33</v>
      </c>
      <c r="C438" s="11">
        <v>814.105188</v>
      </c>
      <c r="D438" s="11">
        <v>905.119839</v>
      </c>
      <c r="E438" s="11">
        <v>1.988991</v>
      </c>
      <c r="F438" s="10">
        <v>9.69</v>
      </c>
      <c r="G438" s="10">
        <v>282.362429544056</v>
      </c>
      <c r="H438" s="10">
        <v>5927</v>
      </c>
      <c r="I438" s="10">
        <v>3665</v>
      </c>
      <c r="J438" s="12">
        <v>0.618356672853045</v>
      </c>
      <c r="K438" s="10">
        <v>76712</v>
      </c>
      <c r="L438" s="10">
        <v>0.621546654216592</v>
      </c>
      <c r="M438" s="10">
        <v>0.381166215413062</v>
      </c>
      <c r="N438" s="10">
        <v>17316</v>
      </c>
      <c r="O438" s="10">
        <v>18723</v>
      </c>
      <c r="P438" s="10">
        <v>45429</v>
      </c>
      <c r="Q438" s="12">
        <v>0.412137621343195</v>
      </c>
    </row>
    <row r="439" spans="1:17">
      <c r="A439" s="10">
        <v>2019</v>
      </c>
      <c r="B439" s="10" t="s">
        <v>34</v>
      </c>
      <c r="C439" s="11">
        <v>711.976392</v>
      </c>
      <c r="D439" s="11">
        <v>1312.571745</v>
      </c>
      <c r="E439" s="11">
        <v>0.599931</v>
      </c>
      <c r="F439" s="10">
        <v>7.44</v>
      </c>
      <c r="G439" s="10">
        <v>242.061753566667</v>
      </c>
      <c r="H439" s="10">
        <v>6640</v>
      </c>
      <c r="I439" s="10">
        <v>3815</v>
      </c>
      <c r="J439" s="12">
        <v>0.574548192771084</v>
      </c>
      <c r="K439" s="10">
        <v>60104</v>
      </c>
      <c r="L439" s="10">
        <v>0.606760783089897</v>
      </c>
      <c r="M439" s="10">
        <v>0.401086877508203</v>
      </c>
      <c r="N439" s="10">
        <v>16001</v>
      </c>
      <c r="O439" s="10">
        <v>15401.7</v>
      </c>
      <c r="P439" s="10">
        <v>39894.1</v>
      </c>
      <c r="Q439" s="12">
        <v>0.386064606044503</v>
      </c>
    </row>
    <row r="440" spans="1:17">
      <c r="A440" s="10">
        <v>2019</v>
      </c>
      <c r="B440" s="10" t="s">
        <v>35</v>
      </c>
      <c r="C440" s="11">
        <v>465.57774</v>
      </c>
      <c r="D440" s="11">
        <v>1144.888569</v>
      </c>
      <c r="E440" s="11">
        <v>1.138914</v>
      </c>
      <c r="F440" s="10">
        <v>50.24</v>
      </c>
      <c r="G440" s="10">
        <v>552.289416861166</v>
      </c>
      <c r="H440" s="10">
        <v>12489</v>
      </c>
      <c r="I440" s="10">
        <v>9073</v>
      </c>
      <c r="J440" s="12">
        <v>0.726479301785571</v>
      </c>
      <c r="K440" s="10">
        <v>86956</v>
      </c>
      <c r="L440" s="10">
        <v>0.511441125600574</v>
      </c>
      <c r="M440" s="10">
        <v>0.316167979634567</v>
      </c>
      <c r="N440" s="10">
        <v>34142</v>
      </c>
      <c r="O440" s="10">
        <v>43368.2</v>
      </c>
      <c r="P440" s="10">
        <v>107986.9</v>
      </c>
      <c r="Q440" s="12">
        <v>0.401606120742423</v>
      </c>
    </row>
    <row r="441" spans="1:17">
      <c r="A441" s="10">
        <v>2019</v>
      </c>
      <c r="B441" s="10" t="s">
        <v>36</v>
      </c>
      <c r="C441" s="11">
        <v>574.004754</v>
      </c>
      <c r="D441" s="11">
        <v>1683.448074</v>
      </c>
      <c r="E441" s="11">
        <v>1.545309</v>
      </c>
      <c r="F441" s="10">
        <v>7.24</v>
      </c>
      <c r="G441" s="10">
        <v>226.5917734</v>
      </c>
      <c r="H441" s="10">
        <v>4982</v>
      </c>
      <c r="I441" s="10">
        <v>2639</v>
      </c>
      <c r="J441" s="12">
        <v>0.529706945002007</v>
      </c>
      <c r="K441" s="10">
        <v>42778</v>
      </c>
      <c r="L441" s="10">
        <v>1.06696193642258</v>
      </c>
      <c r="M441" s="10">
        <v>0.530675092173602</v>
      </c>
      <c r="N441" s="10">
        <v>11270</v>
      </c>
      <c r="O441" s="10">
        <v>7046.4</v>
      </c>
      <c r="P441" s="10">
        <v>21237.1</v>
      </c>
      <c r="Q441" s="12">
        <v>0.331796714240645</v>
      </c>
    </row>
    <row r="442" spans="1:17">
      <c r="A442" s="10">
        <v>2019</v>
      </c>
      <c r="B442" s="10" t="s">
        <v>37</v>
      </c>
      <c r="C442" s="11">
        <v>102.959136</v>
      </c>
      <c r="D442" s="11">
        <v>223.579467</v>
      </c>
      <c r="E442" s="11">
        <v>0.226881</v>
      </c>
      <c r="F442" s="10">
        <v>1.77</v>
      </c>
      <c r="G442" s="10">
        <v>66.0966737656</v>
      </c>
      <c r="H442" s="10">
        <v>995</v>
      </c>
      <c r="I442" s="10">
        <v>591</v>
      </c>
      <c r="J442" s="12">
        <v>0.593969849246231</v>
      </c>
      <c r="K442" s="10">
        <v>53929</v>
      </c>
      <c r="L442" s="10">
        <v>1.23990158635852</v>
      </c>
      <c r="M442" s="10">
        <v>0.424701733323329</v>
      </c>
      <c r="N442" s="10">
        <v>2264</v>
      </c>
      <c r="O442" s="10">
        <v>1083.8</v>
      </c>
      <c r="P442" s="10">
        <v>5330.8</v>
      </c>
      <c r="Q442" s="12">
        <v>0.203309071809109</v>
      </c>
    </row>
    <row r="443" spans="1:17">
      <c r="A443" s="10">
        <v>2019</v>
      </c>
      <c r="B443" s="10" t="s">
        <v>38</v>
      </c>
      <c r="C443" s="11">
        <v>351.627174</v>
      </c>
      <c r="D443" s="11">
        <v>441.558207</v>
      </c>
      <c r="E443" s="11">
        <v>0.619317</v>
      </c>
      <c r="F443" s="10">
        <v>6.77</v>
      </c>
      <c r="G443" s="10">
        <v>125.666057546667</v>
      </c>
      <c r="H443" s="10">
        <v>3188</v>
      </c>
      <c r="I443" s="10">
        <v>2175</v>
      </c>
      <c r="J443" s="12">
        <v>0.682245922208281</v>
      </c>
      <c r="K443" s="10">
        <v>74337</v>
      </c>
      <c r="L443" s="10">
        <v>0.532352462304462</v>
      </c>
      <c r="M443" s="10">
        <v>0.376559997966601</v>
      </c>
      <c r="N443" s="10">
        <v>8889</v>
      </c>
      <c r="O443" s="10">
        <v>9392</v>
      </c>
      <c r="P443" s="10">
        <v>23605.8</v>
      </c>
      <c r="Q443" s="12">
        <v>0.397868320497505</v>
      </c>
    </row>
    <row r="444" spans="1:17">
      <c r="A444" s="10">
        <v>2019</v>
      </c>
      <c r="B444" s="10" t="s">
        <v>39</v>
      </c>
      <c r="C444" s="11">
        <v>1121.61069</v>
      </c>
      <c r="D444" s="11">
        <v>1955.236842</v>
      </c>
      <c r="E444" s="11">
        <v>1605.937149</v>
      </c>
      <c r="F444" s="10">
        <v>12.42</v>
      </c>
      <c r="G444" s="10">
        <v>276.557056055556</v>
      </c>
      <c r="H444" s="10">
        <v>8351</v>
      </c>
      <c r="I444" s="10">
        <v>4623</v>
      </c>
      <c r="J444" s="12">
        <v>0.553586396838702</v>
      </c>
      <c r="K444" s="10">
        <v>55619</v>
      </c>
      <c r="L444" s="10">
        <v>0.596493505829021</v>
      </c>
      <c r="M444" s="10">
        <v>0.448431750633037</v>
      </c>
      <c r="N444" s="10">
        <v>20791</v>
      </c>
      <c r="O444" s="10">
        <v>17187.9</v>
      </c>
      <c r="P444" s="10">
        <v>46363.8</v>
      </c>
      <c r="Q444" s="12">
        <v>0.370718103347871</v>
      </c>
    </row>
    <row r="445" spans="1:17">
      <c r="A445" s="10">
        <v>2019</v>
      </c>
      <c r="B445" s="10" t="s">
        <v>40</v>
      </c>
      <c r="C445" s="11">
        <v>592.458642</v>
      </c>
      <c r="D445" s="11">
        <v>1069.537995</v>
      </c>
      <c r="E445" s="11">
        <v>24.802866</v>
      </c>
      <c r="F445" s="10">
        <v>5.44</v>
      </c>
      <c r="G445" s="10">
        <v>289.23560002</v>
      </c>
      <c r="H445" s="10">
        <v>3848</v>
      </c>
      <c r="I445" s="10">
        <v>1981</v>
      </c>
      <c r="J445" s="12">
        <v>0.51481288981289</v>
      </c>
      <c r="K445" s="10">
        <v>43727</v>
      </c>
      <c r="L445" s="10">
        <v>1.72479232895827</v>
      </c>
      <c r="M445" s="10">
        <v>0.621552479829212</v>
      </c>
      <c r="N445" s="10">
        <v>10423</v>
      </c>
      <c r="O445" s="10">
        <v>5971.5</v>
      </c>
      <c r="P445" s="10">
        <v>16769.3</v>
      </c>
      <c r="Q445" s="12">
        <v>0.356097153727347</v>
      </c>
    </row>
    <row r="446" spans="1:17">
      <c r="A446" s="10">
        <v>2019</v>
      </c>
      <c r="B446" s="10" t="s">
        <v>41</v>
      </c>
      <c r="C446" s="11">
        <v>827.892693</v>
      </c>
      <c r="D446" s="11">
        <v>2626.990362</v>
      </c>
      <c r="E446" s="11">
        <v>232.674912</v>
      </c>
      <c r="F446" s="10">
        <v>4.86</v>
      </c>
      <c r="G446" s="10">
        <v>172.113020980077</v>
      </c>
      <c r="H446" s="10">
        <v>4714</v>
      </c>
      <c r="I446" s="10">
        <v>2294</v>
      </c>
      <c r="J446" s="12">
        <v>0.486635553669919</v>
      </c>
      <c r="K446" s="10">
        <v>49323</v>
      </c>
      <c r="L446" s="10">
        <v>0.741106197005127</v>
      </c>
      <c r="M446" s="10">
        <v>0.523514670295128</v>
      </c>
      <c r="N446" s="10">
        <v>12158</v>
      </c>
      <c r="O446" s="10">
        <v>8060.4</v>
      </c>
      <c r="P446" s="10">
        <v>23223.8</v>
      </c>
      <c r="Q446" s="12">
        <v>0.347074983422179</v>
      </c>
    </row>
    <row r="447" spans="1:17">
      <c r="A447" s="10">
        <v>2019</v>
      </c>
      <c r="B447" s="10" t="s">
        <v>42</v>
      </c>
      <c r="C447" s="11">
        <v>506.153358</v>
      </c>
      <c r="D447" s="11">
        <v>931.88016</v>
      </c>
      <c r="E447" s="11">
        <v>553.914621</v>
      </c>
      <c r="F447" s="10">
        <v>5.96</v>
      </c>
      <c r="G447" s="10">
        <v>611.594667713333</v>
      </c>
      <c r="H447" s="10">
        <v>3944</v>
      </c>
      <c r="I447" s="10">
        <v>2417</v>
      </c>
      <c r="J447" s="12">
        <v>0.612829614604463</v>
      </c>
      <c r="K447" s="10">
        <v>65506</v>
      </c>
      <c r="L447" s="10">
        <v>2.37114692133327</v>
      </c>
      <c r="M447" s="10">
        <v>0.52254082471349</v>
      </c>
      <c r="N447" s="10">
        <v>13478</v>
      </c>
      <c r="O447" s="10">
        <v>11779.5</v>
      </c>
      <c r="P447" s="10">
        <v>25793.2</v>
      </c>
      <c r="Q447" s="12">
        <v>0.45669013538452</v>
      </c>
    </row>
    <row r="448" spans="1:17">
      <c r="A448" s="10">
        <v>2019</v>
      </c>
      <c r="B448" s="10" t="s">
        <v>43</v>
      </c>
      <c r="C448" s="11">
        <v>541.781172</v>
      </c>
      <c r="D448" s="11">
        <v>390.615912</v>
      </c>
      <c r="E448" s="11">
        <v>1551.823434</v>
      </c>
      <c r="F448" s="10">
        <v>2.92</v>
      </c>
      <c r="G448" s="10">
        <v>185.441376746667</v>
      </c>
      <c r="H448" s="10">
        <v>2509</v>
      </c>
      <c r="I448" s="10">
        <v>1272</v>
      </c>
      <c r="J448" s="12">
        <v>0.50697489039458</v>
      </c>
      <c r="K448" s="10">
        <v>34707</v>
      </c>
      <c r="L448" s="10">
        <v>2.12703596740955</v>
      </c>
      <c r="M448" s="10">
        <v>0.896734455111662</v>
      </c>
      <c r="N448" s="10">
        <v>7818</v>
      </c>
      <c r="O448" s="10">
        <v>2862.4</v>
      </c>
      <c r="P448" s="10">
        <v>8718.3</v>
      </c>
      <c r="Q448" s="12">
        <v>0.328320888246562</v>
      </c>
    </row>
    <row r="449" spans="1:17">
      <c r="A449" s="10">
        <v>2019</v>
      </c>
      <c r="B449" s="10" t="s">
        <v>44</v>
      </c>
      <c r="C449" s="11">
        <v>55.251792</v>
      </c>
      <c r="D449" s="11">
        <v>62.48403</v>
      </c>
      <c r="E449" s="11">
        <v>4549.48155</v>
      </c>
      <c r="F449" s="10">
        <v>0.73</v>
      </c>
      <c r="G449" s="10">
        <v>45.2802097333333</v>
      </c>
      <c r="H449" s="10">
        <v>590</v>
      </c>
      <c r="I449" s="10">
        <v>347</v>
      </c>
      <c r="J449" s="12">
        <v>0.588135593220339</v>
      </c>
      <c r="K449" s="10">
        <v>49976</v>
      </c>
      <c r="L449" s="10">
        <v>1.53956715967949</v>
      </c>
      <c r="M449" s="10">
        <v>1.4399374383734</v>
      </c>
      <c r="N449" s="10">
        <v>4235</v>
      </c>
      <c r="O449" s="10">
        <v>1153.9</v>
      </c>
      <c r="P449" s="10">
        <v>2941.1</v>
      </c>
      <c r="Q449" s="12">
        <v>0.392336200741219</v>
      </c>
    </row>
    <row r="450" spans="1:17">
      <c r="A450" s="10">
        <v>2019</v>
      </c>
      <c r="B450" s="10" t="s">
        <v>45</v>
      </c>
      <c r="C450" s="11">
        <v>138.033342</v>
      </c>
      <c r="D450" s="11">
        <v>8.355141</v>
      </c>
      <c r="E450" s="11">
        <v>342.372042</v>
      </c>
      <c r="F450" s="10">
        <v>2.62</v>
      </c>
      <c r="G450" s="10">
        <v>251.898741255556</v>
      </c>
      <c r="H450" s="10">
        <v>717</v>
      </c>
      <c r="I450" s="10">
        <v>456</v>
      </c>
      <c r="J450" s="12">
        <v>0.635983263598326</v>
      </c>
      <c r="K450" s="10">
        <v>52537</v>
      </c>
      <c r="L450" s="10">
        <v>6.71998776191958</v>
      </c>
      <c r="M450" s="10">
        <v>2.04028277977858</v>
      </c>
      <c r="N450" s="10">
        <v>7648</v>
      </c>
      <c r="O450" s="10">
        <v>1587.1</v>
      </c>
      <c r="P450" s="10">
        <v>3748.5</v>
      </c>
      <c r="Q450" s="12">
        <v>0.423396025076697</v>
      </c>
    </row>
    <row r="451" spans="1:17">
      <c r="A451" s="10">
        <v>2019</v>
      </c>
      <c r="B451" s="10" t="s">
        <v>46</v>
      </c>
      <c r="C451" s="11">
        <v>861.133221</v>
      </c>
      <c r="D451" s="11">
        <v>181.586268</v>
      </c>
      <c r="E451" s="11">
        <v>3777.310179</v>
      </c>
      <c r="F451" s="10">
        <v>7.69</v>
      </c>
      <c r="G451" s="10">
        <v>519.305165726667</v>
      </c>
      <c r="H451" s="10">
        <v>2559</v>
      </c>
      <c r="I451" s="10">
        <v>1421</v>
      </c>
      <c r="J451" s="12">
        <v>0.555295037123877</v>
      </c>
      <c r="K451" s="10">
        <v>53542</v>
      </c>
      <c r="L451" s="10">
        <v>3.81923473186684</v>
      </c>
      <c r="M451" s="10">
        <v>1.35984879128638</v>
      </c>
      <c r="N451" s="10">
        <v>18490</v>
      </c>
      <c r="O451" s="10">
        <v>4784.4</v>
      </c>
      <c r="P451" s="10">
        <v>13597.1</v>
      </c>
      <c r="Q451" s="12">
        <v>0.351869148568445</v>
      </c>
    </row>
    <row r="452" spans="1:17">
      <c r="A452" s="10">
        <v>2020</v>
      </c>
      <c r="B452" s="10" t="s">
        <v>17</v>
      </c>
      <c r="C452" s="11">
        <v>42.035517</v>
      </c>
      <c r="D452" s="11">
        <v>80.010918</v>
      </c>
      <c r="E452" s="11">
        <v>3.248433</v>
      </c>
      <c r="F452" s="10">
        <v>9.27</v>
      </c>
      <c r="G452" s="10">
        <v>66.0690645222222</v>
      </c>
      <c r="H452" s="10">
        <v>2189</v>
      </c>
      <c r="I452" s="10">
        <v>1916</v>
      </c>
      <c r="J452" s="12">
        <v>0.875285518501599</v>
      </c>
      <c r="K452" s="10">
        <v>164158</v>
      </c>
      <c r="L452" s="10">
        <v>0.183814687360989</v>
      </c>
      <c r="M452" s="10">
        <v>0.188132419672095</v>
      </c>
      <c r="N452" s="10">
        <v>6762.1</v>
      </c>
      <c r="O452" s="10">
        <v>5739.1</v>
      </c>
      <c r="P452" s="10">
        <v>35943.3</v>
      </c>
      <c r="Q452" s="12">
        <v>0.159670926153136</v>
      </c>
    </row>
    <row r="453" spans="1:17">
      <c r="A453" s="10">
        <v>2020</v>
      </c>
      <c r="B453" s="10" t="s">
        <v>18</v>
      </c>
      <c r="C453" s="11">
        <v>61.949988</v>
      </c>
      <c r="D453" s="11">
        <v>3.39957</v>
      </c>
      <c r="E453" s="11">
        <v>0.186687</v>
      </c>
      <c r="F453" s="10">
        <v>4.37</v>
      </c>
      <c r="G453" s="10">
        <v>128.492687555556</v>
      </c>
      <c r="H453" s="10">
        <v>1387</v>
      </c>
      <c r="I453" s="10">
        <v>1175</v>
      </c>
      <c r="J453" s="12">
        <v>0.847152126892574</v>
      </c>
      <c r="K453" s="10">
        <v>101068</v>
      </c>
      <c r="L453" s="10">
        <v>0.91728075068215</v>
      </c>
      <c r="M453" s="10">
        <v>0.578569388920617</v>
      </c>
      <c r="N453" s="10">
        <v>8104.6</v>
      </c>
      <c r="O453" s="10">
        <v>4911.8</v>
      </c>
      <c r="P453" s="10">
        <v>14008</v>
      </c>
      <c r="Q453" s="12">
        <v>0.350642490005711</v>
      </c>
    </row>
    <row r="454" spans="1:17">
      <c r="A454" s="10">
        <v>2020</v>
      </c>
      <c r="B454" s="10" t="s">
        <v>19</v>
      </c>
      <c r="C454" s="11">
        <v>840.228633</v>
      </c>
      <c r="D454" s="11">
        <v>449.139636</v>
      </c>
      <c r="E454" s="11">
        <v>316.456002</v>
      </c>
      <c r="F454" s="10">
        <v>9.88</v>
      </c>
      <c r="G454" s="10">
        <v>589.564633133333</v>
      </c>
      <c r="H454" s="10">
        <v>7464</v>
      </c>
      <c r="I454" s="10">
        <v>4484</v>
      </c>
      <c r="J454" s="12">
        <v>0.60075026795284</v>
      </c>
      <c r="K454" s="10">
        <v>48302</v>
      </c>
      <c r="L454" s="10">
        <v>1.63705199988153</v>
      </c>
      <c r="M454" s="10">
        <v>0.910283280298108</v>
      </c>
      <c r="N454" s="10">
        <v>32782.76</v>
      </c>
      <c r="O454" s="10">
        <v>13765.1</v>
      </c>
      <c r="P454" s="10">
        <v>36013.8</v>
      </c>
      <c r="Q454" s="12">
        <v>0.382217372229534</v>
      </c>
    </row>
    <row r="455" spans="1:17">
      <c r="A455" s="10">
        <v>2020</v>
      </c>
      <c r="B455" s="10" t="s">
        <v>20</v>
      </c>
      <c r="C455" s="11">
        <v>574.292754</v>
      </c>
      <c r="D455" s="11">
        <v>408.067281</v>
      </c>
      <c r="E455" s="11">
        <v>490.095036</v>
      </c>
      <c r="F455" s="10">
        <v>5.66</v>
      </c>
      <c r="G455" s="10">
        <v>1924.95415796667</v>
      </c>
      <c r="H455" s="10">
        <v>3490</v>
      </c>
      <c r="I455" s="10">
        <v>2182</v>
      </c>
      <c r="J455" s="12">
        <v>0.625214899713467</v>
      </c>
      <c r="K455" s="10">
        <v>51051</v>
      </c>
      <c r="L455" s="10">
        <v>10.7927636747105</v>
      </c>
      <c r="M455" s="10">
        <v>1.17632992442082</v>
      </c>
      <c r="N455" s="10">
        <v>20980.55</v>
      </c>
      <c r="O455" s="10">
        <v>7703.2</v>
      </c>
      <c r="P455" s="10">
        <v>17835.6</v>
      </c>
      <c r="Q455" s="12">
        <v>0.43190024445491</v>
      </c>
    </row>
    <row r="456" spans="1:17">
      <c r="A456" s="10">
        <v>2020</v>
      </c>
      <c r="B456" s="10" t="s">
        <v>21</v>
      </c>
      <c r="C456" s="11">
        <v>1321.903935</v>
      </c>
      <c r="D456" s="11">
        <v>1800.467334</v>
      </c>
      <c r="E456" s="11">
        <v>5489.861463</v>
      </c>
      <c r="F456" s="10">
        <v>6.85</v>
      </c>
      <c r="G456" s="10">
        <v>1046.66219544667</v>
      </c>
      <c r="H456" s="10">
        <v>2403</v>
      </c>
      <c r="I456" s="10">
        <v>1622</v>
      </c>
      <c r="J456" s="12">
        <v>0.674989596337911</v>
      </c>
      <c r="K456" s="10">
        <v>71640</v>
      </c>
      <c r="L456" s="10">
        <v>6.06479427191254</v>
      </c>
      <c r="M456" s="10">
        <v>1.57223606443389</v>
      </c>
      <c r="N456" s="10">
        <v>27133.65</v>
      </c>
      <c r="O456" s="10">
        <v>6908.2</v>
      </c>
      <c r="P456" s="10">
        <v>17258</v>
      </c>
      <c r="Q456" s="12">
        <v>0.400289720709236</v>
      </c>
    </row>
    <row r="457" spans="1:17">
      <c r="A457" s="10">
        <v>2020</v>
      </c>
      <c r="B457" s="10" t="s">
        <v>22</v>
      </c>
      <c r="C457" s="11">
        <v>712.270188</v>
      </c>
      <c r="D457" s="11">
        <v>513.005481</v>
      </c>
      <c r="E457" s="11">
        <v>61.757199</v>
      </c>
      <c r="F457" s="10">
        <v>14.79</v>
      </c>
      <c r="G457" s="10">
        <v>646.131775866667</v>
      </c>
      <c r="H457" s="10">
        <v>4255</v>
      </c>
      <c r="I457" s="10">
        <v>3070</v>
      </c>
      <c r="J457" s="12">
        <v>0.721504112808461</v>
      </c>
      <c r="K457" s="10">
        <v>58629</v>
      </c>
      <c r="L457" s="10">
        <v>2.58334909627876</v>
      </c>
      <c r="M457" s="10">
        <v>0.99352695171002</v>
      </c>
      <c r="N457" s="10">
        <v>24849.5</v>
      </c>
      <c r="O457" s="10">
        <v>9357.5</v>
      </c>
      <c r="P457" s="10">
        <v>25011.4</v>
      </c>
      <c r="Q457" s="12">
        <v>0.37412939699497</v>
      </c>
    </row>
    <row r="458" spans="1:17">
      <c r="A458" s="10">
        <v>2020</v>
      </c>
      <c r="B458" s="10" t="s">
        <v>23</v>
      </c>
      <c r="C458" s="11">
        <v>896.090085</v>
      </c>
      <c r="D458" s="11">
        <v>823.568769</v>
      </c>
      <c r="E458" s="11">
        <v>51.458436</v>
      </c>
      <c r="F458" s="10">
        <v>9.26</v>
      </c>
      <c r="G458" s="10">
        <v>184.394034</v>
      </c>
      <c r="H458" s="10">
        <v>2399</v>
      </c>
      <c r="I458" s="10">
        <v>1503</v>
      </c>
      <c r="J458" s="12">
        <v>0.626511046269279</v>
      </c>
      <c r="K458" s="10">
        <v>50561</v>
      </c>
      <c r="L458" s="10">
        <v>1.50452051240209</v>
      </c>
      <c r="M458" s="10">
        <v>0.586300587467363</v>
      </c>
      <c r="N458" s="10">
        <v>7185.7</v>
      </c>
      <c r="O458" s="10">
        <v>4319.9</v>
      </c>
      <c r="P458" s="10">
        <v>12256</v>
      </c>
      <c r="Q458" s="12">
        <v>0.35247225848564</v>
      </c>
    </row>
    <row r="459" spans="1:17">
      <c r="A459" s="10">
        <v>2020</v>
      </c>
      <c r="B459" s="10" t="s">
        <v>24</v>
      </c>
      <c r="C459" s="11">
        <v>2024.249778</v>
      </c>
      <c r="D459" s="11">
        <v>2226.381237</v>
      </c>
      <c r="E459" s="11">
        <v>60.069141</v>
      </c>
      <c r="F459" s="10">
        <v>7.15</v>
      </c>
      <c r="G459" s="10">
        <v>336.8889072</v>
      </c>
      <c r="H459" s="10">
        <v>3171</v>
      </c>
      <c r="I459" s="10">
        <v>2080</v>
      </c>
      <c r="J459" s="12">
        <v>0.6559444970041</v>
      </c>
      <c r="K459" s="10">
        <v>42432</v>
      </c>
      <c r="L459" s="10">
        <v>2.47105569557117</v>
      </c>
      <c r="M459" s="10">
        <v>0.845404227852187</v>
      </c>
      <c r="N459" s="10">
        <v>11525.734</v>
      </c>
      <c r="O459" s="10">
        <v>3449.9</v>
      </c>
      <c r="P459" s="10">
        <v>13633.4</v>
      </c>
      <c r="Q459" s="12">
        <v>0.253047662358619</v>
      </c>
    </row>
    <row r="460" spans="1:17">
      <c r="A460" s="10">
        <v>2020</v>
      </c>
      <c r="B460" s="10" t="s">
        <v>25</v>
      </c>
      <c r="C460" s="11">
        <v>42.293421</v>
      </c>
      <c r="D460" s="11">
        <v>0.087066</v>
      </c>
      <c r="E460" s="11">
        <v>0.00072</v>
      </c>
      <c r="F460" s="10">
        <v>16.46</v>
      </c>
      <c r="G460" s="10">
        <v>154.626881773333</v>
      </c>
      <c r="H460" s="10">
        <v>2488</v>
      </c>
      <c r="I460" s="10">
        <v>2222</v>
      </c>
      <c r="J460" s="12">
        <v>0.893086816720257</v>
      </c>
      <c r="K460" s="10">
        <v>156803</v>
      </c>
      <c r="L460" s="10">
        <v>0.396852632537114</v>
      </c>
      <c r="M460" s="10">
        <v>0.284872944540119</v>
      </c>
      <c r="N460" s="10">
        <v>11099.59</v>
      </c>
      <c r="O460" s="10">
        <v>10258.6</v>
      </c>
      <c r="P460" s="10">
        <v>38963.3</v>
      </c>
      <c r="Q460" s="12">
        <v>0.26328878714072</v>
      </c>
    </row>
    <row r="461" spans="1:17">
      <c r="A461" s="10">
        <v>2020</v>
      </c>
      <c r="B461" s="10" t="s">
        <v>26</v>
      </c>
      <c r="C461" s="11">
        <v>702.885366</v>
      </c>
      <c r="D461" s="11">
        <v>16.351398</v>
      </c>
      <c r="E461" s="11">
        <v>0.041643</v>
      </c>
      <c r="F461" s="10">
        <v>30.58</v>
      </c>
      <c r="G461" s="10">
        <v>628.062528133333</v>
      </c>
      <c r="H461" s="10">
        <v>8477</v>
      </c>
      <c r="I461" s="10">
        <v>6226</v>
      </c>
      <c r="J461" s="12">
        <v>0.734457945027722</v>
      </c>
      <c r="K461" s="10">
        <v>121333</v>
      </c>
      <c r="L461" s="10">
        <v>0.610910007843122</v>
      </c>
      <c r="M461" s="10">
        <v>0.317801973976657</v>
      </c>
      <c r="N461" s="10">
        <v>32672.49</v>
      </c>
      <c r="O461" s="10">
        <v>44631.3</v>
      </c>
      <c r="P461" s="10">
        <v>102807.7</v>
      </c>
      <c r="Q461" s="12">
        <v>0.434124097708635</v>
      </c>
    </row>
    <row r="462" spans="1:17">
      <c r="A462" s="10">
        <v>2020</v>
      </c>
      <c r="B462" s="10" t="s">
        <v>27</v>
      </c>
      <c r="C462" s="11">
        <v>245.833524</v>
      </c>
      <c r="D462" s="11">
        <v>668.504025</v>
      </c>
      <c r="E462" s="11">
        <v>0.10269</v>
      </c>
      <c r="F462" s="10">
        <v>17.94</v>
      </c>
      <c r="G462" s="10">
        <v>454.554512266667</v>
      </c>
      <c r="H462" s="10">
        <v>6468</v>
      </c>
      <c r="I462" s="10">
        <v>4668</v>
      </c>
      <c r="J462" s="12">
        <v>0.721706864564007</v>
      </c>
      <c r="K462" s="10">
        <v>100738</v>
      </c>
      <c r="L462" s="10">
        <v>0.702675585634468</v>
      </c>
      <c r="M462" s="10">
        <v>0.381125923841884</v>
      </c>
      <c r="N462" s="10">
        <v>24654.693</v>
      </c>
      <c r="O462" s="10">
        <v>26361.5</v>
      </c>
      <c r="P462" s="10">
        <v>64689.1</v>
      </c>
      <c r="Q462" s="12">
        <v>0.407510693455312</v>
      </c>
    </row>
    <row r="463" spans="1:17">
      <c r="A463" s="10">
        <v>2020</v>
      </c>
      <c r="B463" s="10" t="s">
        <v>28</v>
      </c>
      <c r="C463" s="11">
        <v>833.72904</v>
      </c>
      <c r="D463" s="11">
        <v>365.525766</v>
      </c>
      <c r="E463" s="11">
        <v>0.423153</v>
      </c>
      <c r="F463" s="10">
        <v>11.95</v>
      </c>
      <c r="G463" s="10">
        <v>397.170869933333</v>
      </c>
      <c r="H463" s="10">
        <v>6105</v>
      </c>
      <c r="I463" s="10">
        <v>3561</v>
      </c>
      <c r="J463" s="12">
        <v>0.583292383292383</v>
      </c>
      <c r="K463" s="10">
        <v>62411</v>
      </c>
      <c r="L463" s="10">
        <v>1.04349768120892</v>
      </c>
      <c r="M463" s="10">
        <v>0.38616186960577</v>
      </c>
      <c r="N463" s="10">
        <v>14697.9</v>
      </c>
      <c r="O463" s="10">
        <v>15216.5</v>
      </c>
      <c r="P463" s="10">
        <v>38061.5</v>
      </c>
      <c r="Q463" s="12">
        <v>0.399787186527068</v>
      </c>
    </row>
    <row r="464" spans="1:17">
      <c r="A464" s="10">
        <v>2020</v>
      </c>
      <c r="B464" s="10" t="s">
        <v>29</v>
      </c>
      <c r="C464" s="11">
        <v>169.712658</v>
      </c>
      <c r="D464" s="11">
        <v>994.538196</v>
      </c>
      <c r="E464" s="11">
        <v>0.457947</v>
      </c>
      <c r="F464" s="10">
        <v>7.53</v>
      </c>
      <c r="G464" s="10">
        <v>281.648774112</v>
      </c>
      <c r="H464" s="10">
        <v>4161</v>
      </c>
      <c r="I464" s="10">
        <v>2861</v>
      </c>
      <c r="J464" s="12">
        <v>0.687575102138909</v>
      </c>
      <c r="K464" s="10">
        <v>105106</v>
      </c>
      <c r="L464" s="10">
        <v>0.64585603324115</v>
      </c>
      <c r="M464" s="10">
        <v>0.318863481056489</v>
      </c>
      <c r="N464" s="10">
        <v>13905.19</v>
      </c>
      <c r="O464" s="10">
        <v>20168.4</v>
      </c>
      <c r="P464" s="10">
        <v>43608.6</v>
      </c>
      <c r="Q464" s="12">
        <v>0.462486757199268</v>
      </c>
    </row>
    <row r="465" spans="1:17">
      <c r="A465" s="10">
        <v>2020</v>
      </c>
      <c r="B465" s="10" t="s">
        <v>30</v>
      </c>
      <c r="C465" s="11">
        <v>488.462724</v>
      </c>
      <c r="D465" s="11">
        <v>1058.113917</v>
      </c>
      <c r="E465" s="11">
        <v>0.577125</v>
      </c>
      <c r="F465" s="10">
        <v>7.71</v>
      </c>
      <c r="G465" s="10">
        <v>183.173148873333</v>
      </c>
      <c r="H465" s="10">
        <v>4519</v>
      </c>
      <c r="I465" s="10">
        <v>2731</v>
      </c>
      <c r="J465" s="12">
        <v>0.604337242752821</v>
      </c>
      <c r="K465" s="10">
        <v>57065</v>
      </c>
      <c r="L465" s="10">
        <v>0.710469121376671</v>
      </c>
      <c r="M465" s="10">
        <v>0.380443720425103</v>
      </c>
      <c r="N465" s="10">
        <v>9808.6</v>
      </c>
      <c r="O465" s="10">
        <v>11107.9</v>
      </c>
      <c r="P465" s="10">
        <v>25782</v>
      </c>
      <c r="Q465" s="12">
        <v>0.430839345279652</v>
      </c>
    </row>
    <row r="466" spans="1:17">
      <c r="A466" s="10">
        <v>2020</v>
      </c>
      <c r="B466" s="10" t="s">
        <v>31</v>
      </c>
      <c r="C466" s="11">
        <v>1060.037901</v>
      </c>
      <c r="D466" s="11">
        <v>78.219081</v>
      </c>
      <c r="E466" s="11">
        <v>22.027545</v>
      </c>
      <c r="F466" s="10">
        <v>26.3</v>
      </c>
      <c r="G466" s="10">
        <v>1273.7735698</v>
      </c>
      <c r="H466" s="10">
        <v>10165</v>
      </c>
      <c r="I466" s="10">
        <v>6409</v>
      </c>
      <c r="J466" s="12">
        <v>0.63049680275455</v>
      </c>
      <c r="K466" s="10">
        <v>71825</v>
      </c>
      <c r="L466" s="10">
        <v>1.74973223211563</v>
      </c>
      <c r="M466" s="10">
        <v>0.578762936446231</v>
      </c>
      <c r="N466" s="10">
        <v>42132.9</v>
      </c>
      <c r="O466" s="10">
        <v>28456.7</v>
      </c>
      <c r="P466" s="10">
        <v>72798.2</v>
      </c>
      <c r="Q466" s="12">
        <v>0.390898401334099</v>
      </c>
    </row>
    <row r="467" spans="1:17">
      <c r="A467" s="10">
        <v>2020</v>
      </c>
      <c r="B467" s="10" t="s">
        <v>32</v>
      </c>
      <c r="C467" s="11">
        <v>1084.213953</v>
      </c>
      <c r="D467" s="11">
        <v>295.645518</v>
      </c>
      <c r="E467" s="11">
        <v>19.457559</v>
      </c>
      <c r="F467" s="10">
        <v>12.21</v>
      </c>
      <c r="G467" s="10">
        <v>464.56370386</v>
      </c>
      <c r="H467" s="10">
        <v>9941</v>
      </c>
      <c r="I467" s="10">
        <v>5510</v>
      </c>
      <c r="J467" s="12">
        <v>0.554270194145458</v>
      </c>
      <c r="K467" s="10">
        <v>54691</v>
      </c>
      <c r="L467" s="10">
        <v>0.856190270920799</v>
      </c>
      <c r="M467" s="10">
        <v>0.419319048865266</v>
      </c>
      <c r="N467" s="10">
        <v>22752</v>
      </c>
      <c r="O467" s="10">
        <v>22220.9</v>
      </c>
      <c r="P467" s="10">
        <v>54259.4</v>
      </c>
      <c r="Q467" s="12">
        <v>0.409530883128085</v>
      </c>
    </row>
    <row r="468" spans="1:17">
      <c r="A468" s="10">
        <v>2020</v>
      </c>
      <c r="B468" s="10" t="s">
        <v>33</v>
      </c>
      <c r="C468" s="11">
        <v>816.156891</v>
      </c>
      <c r="D468" s="11">
        <v>901.976697</v>
      </c>
      <c r="E468" s="11">
        <v>1.773729</v>
      </c>
      <c r="F468" s="10">
        <v>10.58</v>
      </c>
      <c r="G468" s="10">
        <v>242.448933910238</v>
      </c>
      <c r="H468" s="10">
        <v>5745</v>
      </c>
      <c r="I468" s="10">
        <v>3613</v>
      </c>
      <c r="J468" s="12">
        <v>0.628894691035683</v>
      </c>
      <c r="K468" s="10">
        <v>73687</v>
      </c>
      <c r="L468" s="10">
        <v>0.563775730238086</v>
      </c>
      <c r="M468" s="10">
        <v>0.377901382413468</v>
      </c>
      <c r="N468" s="10">
        <v>16251.46</v>
      </c>
      <c r="O468" s="10">
        <v>15933.8</v>
      </c>
      <c r="P468" s="10">
        <v>43004.5</v>
      </c>
      <c r="Q468" s="12">
        <v>0.370514713576486</v>
      </c>
    </row>
    <row r="469" spans="1:17">
      <c r="A469" s="10">
        <v>2020</v>
      </c>
      <c r="B469" s="10" t="s">
        <v>34</v>
      </c>
      <c r="C469" s="11">
        <v>715.232601</v>
      </c>
      <c r="D469" s="11">
        <v>1308.783672</v>
      </c>
      <c r="E469" s="11">
        <v>0.575253</v>
      </c>
      <c r="F469" s="10">
        <v>8.1</v>
      </c>
      <c r="G469" s="10">
        <v>227.633691833333</v>
      </c>
      <c r="H469" s="10">
        <v>6645</v>
      </c>
      <c r="I469" s="10">
        <v>3905</v>
      </c>
      <c r="J469" s="12">
        <v>0.587659894657637</v>
      </c>
      <c r="K469" s="10">
        <v>62537</v>
      </c>
      <c r="L469" s="10">
        <v>0.547952443596052</v>
      </c>
      <c r="M469" s="10">
        <v>0.385829534020499</v>
      </c>
      <c r="N469" s="10">
        <v>16028.362</v>
      </c>
      <c r="O469" s="10">
        <v>15949.2</v>
      </c>
      <c r="P469" s="10">
        <v>41542.6</v>
      </c>
      <c r="Q469" s="12">
        <v>0.383923972019084</v>
      </c>
    </row>
    <row r="470" spans="1:17">
      <c r="A470" s="10">
        <v>2020</v>
      </c>
      <c r="B470" s="10" t="s">
        <v>35</v>
      </c>
      <c r="C470" s="11">
        <v>473.032818</v>
      </c>
      <c r="D470" s="11">
        <v>1136.630655</v>
      </c>
      <c r="E470" s="11">
        <v>1.034559</v>
      </c>
      <c r="F470" s="10">
        <v>52.55</v>
      </c>
      <c r="G470" s="10">
        <v>575.14797387506</v>
      </c>
      <c r="H470" s="10">
        <v>12624</v>
      </c>
      <c r="I470" s="10">
        <v>9361</v>
      </c>
      <c r="J470" s="12">
        <v>0.741524081115336</v>
      </c>
      <c r="K470" s="10">
        <v>88521</v>
      </c>
      <c r="L470" s="10">
        <v>0.517444619668147</v>
      </c>
      <c r="M470" s="10">
        <v>0.295256388572004</v>
      </c>
      <c r="N470" s="10">
        <v>32818.22</v>
      </c>
      <c r="O470" s="10">
        <v>43868.1</v>
      </c>
      <c r="P470" s="10">
        <v>111151.6</v>
      </c>
      <c r="Q470" s="12">
        <v>0.394669082586306</v>
      </c>
    </row>
    <row r="471" spans="1:17">
      <c r="A471" s="10">
        <v>2020</v>
      </c>
      <c r="B471" s="10" t="s">
        <v>36</v>
      </c>
      <c r="C471" s="11">
        <v>583.299702</v>
      </c>
      <c r="D471" s="11">
        <v>1678.400982</v>
      </c>
      <c r="E471" s="11">
        <v>1.41777</v>
      </c>
      <c r="F471" s="10">
        <v>7.47</v>
      </c>
      <c r="G471" s="10">
        <v>222.2433434</v>
      </c>
      <c r="H471" s="10">
        <v>5019</v>
      </c>
      <c r="I471" s="10">
        <v>2720</v>
      </c>
      <c r="J471" s="12">
        <v>0.541940625622634</v>
      </c>
      <c r="K471" s="10">
        <v>44237</v>
      </c>
      <c r="L471" s="10">
        <v>1.00467586490604</v>
      </c>
      <c r="M471" s="10">
        <v>0.53370568105276</v>
      </c>
      <c r="N471" s="10">
        <v>11806.05</v>
      </c>
      <c r="O471" s="10">
        <v>7046.8</v>
      </c>
      <c r="P471" s="10">
        <v>22120.9</v>
      </c>
      <c r="Q471" s="12">
        <v>0.318558467331799</v>
      </c>
    </row>
    <row r="472" spans="1:17">
      <c r="A472" s="10">
        <v>2020</v>
      </c>
      <c r="B472" s="10" t="s">
        <v>37</v>
      </c>
      <c r="C472" s="11">
        <v>106.876926</v>
      </c>
      <c r="D472" s="11">
        <v>219.750192</v>
      </c>
      <c r="E472" s="11">
        <v>0.195768</v>
      </c>
      <c r="F472" s="10">
        <v>1.77</v>
      </c>
      <c r="G472" s="10">
        <v>64.2482162333333</v>
      </c>
      <c r="H472" s="10">
        <v>1012</v>
      </c>
      <c r="I472" s="10">
        <v>610</v>
      </c>
      <c r="J472" s="12">
        <v>0.602766798418972</v>
      </c>
      <c r="K472" s="10">
        <v>55438</v>
      </c>
      <c r="L472" s="10">
        <v>1.1542563370582</v>
      </c>
      <c r="M472" s="10">
        <v>0.407933599223887</v>
      </c>
      <c r="N472" s="10">
        <v>2270.64</v>
      </c>
      <c r="O472" s="10">
        <v>1072.2</v>
      </c>
      <c r="P472" s="10">
        <v>5566.2</v>
      </c>
      <c r="Q472" s="12">
        <v>0.192626926808235</v>
      </c>
    </row>
    <row r="473" spans="1:17">
      <c r="A473" s="10">
        <v>2020</v>
      </c>
      <c r="B473" s="10" t="s">
        <v>38</v>
      </c>
      <c r="C473" s="11">
        <v>346.855212</v>
      </c>
      <c r="D473" s="11">
        <v>446.022846</v>
      </c>
      <c r="E473" s="11">
        <v>0.687753</v>
      </c>
      <c r="F473" s="10">
        <v>7.07</v>
      </c>
      <c r="G473" s="10">
        <v>87.8285322466667</v>
      </c>
      <c r="H473" s="10">
        <v>3209</v>
      </c>
      <c r="I473" s="10">
        <v>2229</v>
      </c>
      <c r="J473" s="12">
        <v>0.69460891243378</v>
      </c>
      <c r="K473" s="10">
        <v>78294</v>
      </c>
      <c r="L473" s="10">
        <v>0.35073331461766</v>
      </c>
      <c r="M473" s="10">
        <v>0.304370762018098</v>
      </c>
      <c r="N473" s="10">
        <v>7621.87</v>
      </c>
      <c r="O473" s="10">
        <v>9969.6</v>
      </c>
      <c r="P473" s="10">
        <v>25041.4</v>
      </c>
      <c r="Q473" s="12">
        <v>0.398124705487712</v>
      </c>
    </row>
    <row r="474" spans="1:17">
      <c r="A474" s="10">
        <v>2020</v>
      </c>
      <c r="B474" s="10" t="s">
        <v>39</v>
      </c>
      <c r="C474" s="11">
        <v>1110.085398</v>
      </c>
      <c r="D474" s="11">
        <v>1968.777045</v>
      </c>
      <c r="E474" s="11">
        <v>1600.260957</v>
      </c>
      <c r="F474" s="10">
        <v>13.05</v>
      </c>
      <c r="G474" s="10">
        <v>266.6840893</v>
      </c>
      <c r="H474" s="10">
        <v>8371</v>
      </c>
      <c r="I474" s="10">
        <v>4749</v>
      </c>
      <c r="J474" s="12">
        <v>0.567315732887349</v>
      </c>
      <c r="K474" s="10">
        <v>58009</v>
      </c>
      <c r="L474" s="10">
        <v>0.54984596240124</v>
      </c>
      <c r="M474" s="10">
        <v>0.337205370544477</v>
      </c>
      <c r="N474" s="10">
        <v>16355</v>
      </c>
      <c r="O474" s="10">
        <v>17505.6</v>
      </c>
      <c r="P474" s="10">
        <v>48501.6</v>
      </c>
      <c r="Q474" s="12">
        <v>0.360928299272601</v>
      </c>
    </row>
    <row r="475" spans="1:17">
      <c r="A475" s="10">
        <v>2020</v>
      </c>
      <c r="B475" s="10" t="s">
        <v>40</v>
      </c>
      <c r="C475" s="11">
        <v>586.213065</v>
      </c>
      <c r="D475" s="11">
        <v>1081.42173</v>
      </c>
      <c r="E475" s="11">
        <v>23.092686</v>
      </c>
      <c r="F475" s="10">
        <v>5.68</v>
      </c>
      <c r="G475" s="10">
        <v>277.8234403</v>
      </c>
      <c r="H475" s="10">
        <v>3858</v>
      </c>
      <c r="I475" s="10">
        <v>2051</v>
      </c>
      <c r="J475" s="12">
        <v>0.531622602384655</v>
      </c>
      <c r="K475" s="10">
        <v>46355</v>
      </c>
      <c r="L475" s="10">
        <v>1.55552753745717</v>
      </c>
      <c r="M475" s="10">
        <v>0.59469216814853</v>
      </c>
      <c r="N475" s="10">
        <v>10621.44</v>
      </c>
      <c r="O475" s="10">
        <v>6263</v>
      </c>
      <c r="P475" s="10">
        <v>17860.4</v>
      </c>
      <c r="Q475" s="12">
        <v>0.350664038879308</v>
      </c>
    </row>
    <row r="476" spans="1:17">
      <c r="A476" s="10">
        <v>2020</v>
      </c>
      <c r="B476" s="10" t="s">
        <v>41</v>
      </c>
      <c r="C476" s="11">
        <v>837.540144</v>
      </c>
      <c r="D476" s="11">
        <v>2629.645461</v>
      </c>
      <c r="E476" s="11">
        <v>221.538276</v>
      </c>
      <c r="F476" s="10">
        <v>5.13</v>
      </c>
      <c r="G476" s="10">
        <v>205.715798526667</v>
      </c>
      <c r="H476" s="10">
        <v>4722</v>
      </c>
      <c r="I476" s="10">
        <v>2363</v>
      </c>
      <c r="J476" s="12">
        <v>0.500423549343499</v>
      </c>
      <c r="K476" s="10">
        <v>52047</v>
      </c>
      <c r="L476" s="10">
        <v>0.83775171763243</v>
      </c>
      <c r="M476" s="10">
        <v>0.528673179750526</v>
      </c>
      <c r="N476" s="10">
        <v>12981.94</v>
      </c>
      <c r="O476" s="10">
        <v>8387.5</v>
      </c>
      <c r="P476" s="10">
        <v>24555.7</v>
      </c>
      <c r="Q476" s="12">
        <v>0.341570388952463</v>
      </c>
    </row>
    <row r="477" spans="1:17">
      <c r="A477" s="10">
        <v>2020</v>
      </c>
      <c r="B477" s="10" t="s">
        <v>42</v>
      </c>
      <c r="C477" s="11">
        <v>505.191015</v>
      </c>
      <c r="D477" s="11">
        <v>934.928523</v>
      </c>
      <c r="E477" s="11">
        <v>550.510173</v>
      </c>
      <c r="F477" s="10">
        <v>6.59</v>
      </c>
      <c r="G477" s="10">
        <v>620.187861566667</v>
      </c>
      <c r="H477" s="10">
        <v>3955</v>
      </c>
      <c r="I477" s="10">
        <v>2478</v>
      </c>
      <c r="J477" s="12">
        <v>0.626548672566372</v>
      </c>
      <c r="K477" s="10">
        <v>65867</v>
      </c>
      <c r="L477" s="10">
        <v>2.38404504313686</v>
      </c>
      <c r="M477" s="10">
        <v>0.519420621893512</v>
      </c>
      <c r="N477" s="10">
        <v>13512.26</v>
      </c>
      <c r="O477" s="10">
        <v>11222</v>
      </c>
      <c r="P477" s="10">
        <v>26014.1</v>
      </c>
      <c r="Q477" s="12">
        <v>0.431381443140451</v>
      </c>
    </row>
    <row r="478" spans="1:17">
      <c r="A478" s="10">
        <v>2020</v>
      </c>
      <c r="B478" s="10" t="s">
        <v>43</v>
      </c>
      <c r="C478" s="11">
        <v>551.234844</v>
      </c>
      <c r="D478" s="11">
        <v>395.553375</v>
      </c>
      <c r="E478" s="11">
        <v>1530.47925</v>
      </c>
      <c r="F478" s="10">
        <v>3.03</v>
      </c>
      <c r="G478" s="10">
        <v>195.986526233333</v>
      </c>
      <c r="H478" s="10">
        <v>2501</v>
      </c>
      <c r="I478" s="10">
        <v>1306</v>
      </c>
      <c r="J478" s="12">
        <v>0.52219112355058</v>
      </c>
      <c r="K478" s="10">
        <v>35848</v>
      </c>
      <c r="L478" s="10">
        <v>2.18255093414405</v>
      </c>
      <c r="M478" s="10">
        <v>0.902559105538047</v>
      </c>
      <c r="N478" s="10">
        <v>8104.71</v>
      </c>
      <c r="O478" s="10">
        <v>2824.8</v>
      </c>
      <c r="P478" s="10">
        <v>8979.7</v>
      </c>
      <c r="Q478" s="12">
        <v>0.314576210786552</v>
      </c>
    </row>
    <row r="479" spans="1:17">
      <c r="A479" s="10">
        <v>2020</v>
      </c>
      <c r="B479" s="10" t="s">
        <v>44</v>
      </c>
      <c r="C479" s="11">
        <v>55.570221</v>
      </c>
      <c r="D479" s="11">
        <v>62.000505</v>
      </c>
      <c r="E479" s="11">
        <v>4524.849486</v>
      </c>
      <c r="F479" s="10">
        <v>0.84</v>
      </c>
      <c r="G479" s="10">
        <v>41.3184441</v>
      </c>
      <c r="H479" s="10">
        <v>593</v>
      </c>
      <c r="I479" s="10">
        <v>356</v>
      </c>
      <c r="J479" s="12">
        <v>0.600337268128162</v>
      </c>
      <c r="K479" s="10">
        <v>50845</v>
      </c>
      <c r="L479" s="10">
        <v>1.37279699980065</v>
      </c>
      <c r="M479" s="10">
        <v>1.37894876735996</v>
      </c>
      <c r="N479" s="10">
        <v>4150.36</v>
      </c>
      <c r="O479" s="10">
        <v>1143.2</v>
      </c>
      <c r="P479" s="10">
        <v>3009.8</v>
      </c>
      <c r="Q479" s="12">
        <v>0.379825902053293</v>
      </c>
    </row>
    <row r="480" spans="1:17">
      <c r="A480" s="10">
        <v>2020</v>
      </c>
      <c r="B480" s="10" t="s">
        <v>45</v>
      </c>
      <c r="C480" s="11">
        <v>136.540503</v>
      </c>
      <c r="D480" s="11">
        <v>8.615043</v>
      </c>
      <c r="E480" s="11">
        <v>341.607546</v>
      </c>
      <c r="F480" s="10">
        <v>2.69</v>
      </c>
      <c r="G480" s="10">
        <v>259.512911477778</v>
      </c>
      <c r="H480" s="10">
        <v>721</v>
      </c>
      <c r="I480" s="10">
        <v>468</v>
      </c>
      <c r="J480" s="12">
        <v>0.649098474341193</v>
      </c>
      <c r="K480" s="10">
        <v>55021</v>
      </c>
      <c r="L480" s="10">
        <v>6.55948516234304</v>
      </c>
      <c r="M480" s="10">
        <v>2.16914794125825</v>
      </c>
      <c r="N480" s="10">
        <v>8581.8</v>
      </c>
      <c r="O480" s="10">
        <v>1629.3</v>
      </c>
      <c r="P480" s="10">
        <v>3956.3</v>
      </c>
      <c r="Q480" s="12">
        <v>0.411824179157293</v>
      </c>
    </row>
    <row r="481" spans="1:17">
      <c r="A481" s="10">
        <v>2020</v>
      </c>
      <c r="B481" s="10" t="s">
        <v>46</v>
      </c>
      <c r="C481" s="11">
        <v>859.891932</v>
      </c>
      <c r="D481" s="11">
        <v>181.938663</v>
      </c>
      <c r="E481" s="11">
        <v>3749.075847</v>
      </c>
      <c r="F481" s="10">
        <v>8.13</v>
      </c>
      <c r="G481" s="10">
        <v>555.4673467</v>
      </c>
      <c r="H481" s="10">
        <v>2590</v>
      </c>
      <c r="I481" s="10">
        <v>1464</v>
      </c>
      <c r="J481" s="12">
        <v>0.565250965250965</v>
      </c>
      <c r="K481" s="10">
        <v>53606</v>
      </c>
      <c r="L481" s="10">
        <v>4.02492153803793</v>
      </c>
      <c r="M481" s="10">
        <v>1.3754237103915</v>
      </c>
      <c r="N481" s="10">
        <v>18981.81</v>
      </c>
      <c r="O481" s="10">
        <v>4786.7</v>
      </c>
      <c r="P481" s="10">
        <v>13800.7</v>
      </c>
      <c r="Q481" s="12">
        <v>0.346844725267559</v>
      </c>
    </row>
    <row r="482" spans="1:17">
      <c r="A482" s="10">
        <v>2021</v>
      </c>
      <c r="B482" s="10" t="s">
        <v>17</v>
      </c>
      <c r="C482" s="11">
        <v>41.92938</v>
      </c>
      <c r="D482" s="11">
        <v>80.209053</v>
      </c>
      <c r="E482" s="11">
        <v>3.141621</v>
      </c>
      <c r="F482" s="10">
        <v>9.31</v>
      </c>
      <c r="G482" s="10">
        <v>66.9881163666667</v>
      </c>
      <c r="H482" s="10">
        <v>2189</v>
      </c>
      <c r="I482" s="10">
        <v>1916</v>
      </c>
      <c r="J482" s="12">
        <v>0.875285518501599</v>
      </c>
      <c r="K482" s="10">
        <v>187526</v>
      </c>
      <c r="L482" s="10">
        <v>0.163204134832154</v>
      </c>
      <c r="M482" s="10">
        <v>0.173066540627984</v>
      </c>
      <c r="N482" s="10">
        <v>7103.62</v>
      </c>
      <c r="O482" s="10">
        <v>7389</v>
      </c>
      <c r="P482" s="10">
        <v>41045.6</v>
      </c>
      <c r="Q482" s="12">
        <v>0.180019295612684</v>
      </c>
    </row>
    <row r="483" spans="1:17">
      <c r="A483" s="10">
        <v>2021</v>
      </c>
      <c r="B483" s="10" t="s">
        <v>18</v>
      </c>
      <c r="C483" s="11">
        <v>61.890831</v>
      </c>
      <c r="D483" s="11">
        <v>3.402846</v>
      </c>
      <c r="E483" s="11">
        <v>0.184536</v>
      </c>
      <c r="F483" s="10">
        <v>4.61</v>
      </c>
      <c r="G483" s="10">
        <v>141.007632511111</v>
      </c>
      <c r="H483" s="10">
        <v>1373</v>
      </c>
      <c r="I483" s="10">
        <v>1165</v>
      </c>
      <c r="J483" s="12">
        <v>0.848506919155135</v>
      </c>
      <c r="K483" s="10">
        <v>113660</v>
      </c>
      <c r="L483" s="10">
        <v>0.898990969207153</v>
      </c>
      <c r="M483" s="10">
        <v>0.523151908499149</v>
      </c>
      <c r="N483" s="10">
        <v>8205.69</v>
      </c>
      <c r="O483" s="10">
        <v>5672.7</v>
      </c>
      <c r="P483" s="10">
        <v>15685.1</v>
      </c>
      <c r="Q483" s="12">
        <v>0.361661704420118</v>
      </c>
    </row>
    <row r="484" spans="1:17">
      <c r="A484" s="10">
        <v>2021</v>
      </c>
      <c r="B484" s="10" t="s">
        <v>19</v>
      </c>
      <c r="C484" s="11">
        <v>841.561785</v>
      </c>
      <c r="D484" s="11">
        <v>449.761365</v>
      </c>
      <c r="E484" s="11">
        <v>314.092368</v>
      </c>
      <c r="F484" s="10">
        <v>10.15</v>
      </c>
      <c r="G484" s="10">
        <v>579.35934978</v>
      </c>
      <c r="H484" s="10">
        <v>7448</v>
      </c>
      <c r="I484" s="10">
        <v>4554</v>
      </c>
      <c r="J484" s="12">
        <v>0.611439312567132</v>
      </c>
      <c r="K484" s="10">
        <v>54181</v>
      </c>
      <c r="L484" s="10">
        <v>1.43416074366724</v>
      </c>
      <c r="M484" s="10">
        <v>0.806742810746316</v>
      </c>
      <c r="N484" s="10">
        <v>32590.07</v>
      </c>
      <c r="O484" s="10">
        <v>16355.8</v>
      </c>
      <c r="P484" s="10">
        <v>40397.1</v>
      </c>
      <c r="Q484" s="12">
        <v>0.404875597505762</v>
      </c>
    </row>
    <row r="485" spans="1:17">
      <c r="A485" s="10">
        <v>2021</v>
      </c>
      <c r="B485" s="10" t="s">
        <v>20</v>
      </c>
      <c r="C485" s="11">
        <v>578.851686</v>
      </c>
      <c r="D485" s="11">
        <v>411.030585</v>
      </c>
      <c r="E485" s="11">
        <v>482.602932</v>
      </c>
      <c r="F485" s="10">
        <v>5.66</v>
      </c>
      <c r="G485" s="10">
        <v>2099.79225624444</v>
      </c>
      <c r="H485" s="10">
        <v>3480</v>
      </c>
      <c r="I485" s="10">
        <v>2207</v>
      </c>
      <c r="J485" s="12">
        <v>0.634195402298851</v>
      </c>
      <c r="K485" s="10">
        <v>65625</v>
      </c>
      <c r="L485" s="10">
        <v>9.1812659867971</v>
      </c>
      <c r="M485" s="10">
        <v>0.946373478382538</v>
      </c>
      <c r="N485" s="10">
        <v>21643.94</v>
      </c>
      <c r="O485" s="10">
        <v>11578.1</v>
      </c>
      <c r="P485" s="10">
        <v>22870.4</v>
      </c>
      <c r="Q485" s="12">
        <v>0.506248251014412</v>
      </c>
    </row>
    <row r="486" spans="1:17">
      <c r="A486" s="10">
        <v>2021</v>
      </c>
      <c r="B486" s="10" t="s">
        <v>21</v>
      </c>
      <c r="C486" s="11">
        <v>1327.990374</v>
      </c>
      <c r="D486" s="11">
        <v>1802.627379</v>
      </c>
      <c r="E486" s="11">
        <v>5481.333279</v>
      </c>
      <c r="F486" s="10">
        <v>7.08</v>
      </c>
      <c r="G486" s="10">
        <v>1034.0940912</v>
      </c>
      <c r="H486" s="10">
        <v>2400</v>
      </c>
      <c r="I486" s="10">
        <v>1637</v>
      </c>
      <c r="J486" s="12">
        <v>0.682083333333333</v>
      </c>
      <c r="K486" s="10">
        <v>88137</v>
      </c>
      <c r="L486" s="10">
        <v>4.88563777378815</v>
      </c>
      <c r="M486" s="10">
        <v>1.27092790324105</v>
      </c>
      <c r="N486" s="10">
        <v>26900.46</v>
      </c>
      <c r="O486" s="10">
        <v>9880.6</v>
      </c>
      <c r="P486" s="10">
        <v>21166</v>
      </c>
      <c r="Q486" s="12">
        <v>0.466814702825286</v>
      </c>
    </row>
    <row r="487" spans="1:17">
      <c r="A487" s="10">
        <v>2021</v>
      </c>
      <c r="B487" s="10" t="s">
        <v>22</v>
      </c>
      <c r="C487" s="11">
        <v>713.807343</v>
      </c>
      <c r="D487" s="11">
        <v>512.632476</v>
      </c>
      <c r="E487" s="11">
        <v>60.350805</v>
      </c>
      <c r="F487" s="10">
        <v>14.77</v>
      </c>
      <c r="G487" s="10">
        <v>649.707076766667</v>
      </c>
      <c r="H487" s="10">
        <v>4229</v>
      </c>
      <c r="I487" s="10">
        <v>3079</v>
      </c>
      <c r="J487" s="12">
        <v>0.728068101205959</v>
      </c>
      <c r="K487" s="10">
        <v>64992</v>
      </c>
      <c r="L487" s="10">
        <v>2.35661537846775</v>
      </c>
      <c r="M487" s="10">
        <v>0.904289160122599</v>
      </c>
      <c r="N487" s="10">
        <v>24930.8</v>
      </c>
      <c r="O487" s="10">
        <v>10883.3</v>
      </c>
      <c r="P487" s="10">
        <v>27569.5</v>
      </c>
      <c r="Q487" s="12">
        <v>0.394758700738135</v>
      </c>
    </row>
    <row r="488" spans="1:17">
      <c r="A488" s="10">
        <v>2021</v>
      </c>
      <c r="B488" s="10" t="s">
        <v>23</v>
      </c>
      <c r="C488" s="11">
        <v>895.725657</v>
      </c>
      <c r="D488" s="11">
        <v>823.617801</v>
      </c>
      <c r="E488" s="11">
        <v>51.905943</v>
      </c>
      <c r="F488" s="10">
        <v>9.45</v>
      </c>
      <c r="G488" s="10">
        <v>190.8840069674</v>
      </c>
      <c r="H488" s="10">
        <v>2375</v>
      </c>
      <c r="I488" s="10">
        <v>1505</v>
      </c>
      <c r="J488" s="12">
        <v>0.633684210526316</v>
      </c>
      <c r="K488" s="10">
        <v>55148</v>
      </c>
      <c r="L488" s="10">
        <v>1.45006766258527</v>
      </c>
      <c r="M488" s="10">
        <v>0.55360914021787</v>
      </c>
      <c r="N488" s="10">
        <v>7287.6</v>
      </c>
      <c r="O488" s="10">
        <v>4768.3</v>
      </c>
      <c r="P488" s="10">
        <v>13163.8</v>
      </c>
      <c r="Q488" s="12">
        <v>0.362228231969492</v>
      </c>
    </row>
    <row r="489" spans="1:17">
      <c r="A489" s="10">
        <v>2021</v>
      </c>
      <c r="B489" s="10" t="s">
        <v>24</v>
      </c>
      <c r="C489" s="11">
        <v>2020.546638</v>
      </c>
      <c r="D489" s="11">
        <v>2226.769236</v>
      </c>
      <c r="E489" s="11">
        <v>61.545807</v>
      </c>
      <c r="F489" s="10">
        <v>7.3</v>
      </c>
      <c r="G489" s="10">
        <v>358.510922506667</v>
      </c>
      <c r="H489" s="10">
        <v>3125</v>
      </c>
      <c r="I489" s="10">
        <v>2053</v>
      </c>
      <c r="J489" s="12">
        <v>0.65696</v>
      </c>
      <c r="K489" s="10">
        <v>47199</v>
      </c>
      <c r="L489" s="10">
        <v>2.41288260022524</v>
      </c>
      <c r="M489" s="10">
        <v>0.820530077667551</v>
      </c>
      <c r="N489" s="10">
        <v>12191.6</v>
      </c>
      <c r="O489" s="10">
        <v>4086.5</v>
      </c>
      <c r="P489" s="10">
        <v>14858.2</v>
      </c>
      <c r="Q489" s="12">
        <v>0.275033314937206</v>
      </c>
    </row>
    <row r="490" spans="1:17">
      <c r="A490" s="10">
        <v>2021</v>
      </c>
      <c r="B490" s="10" t="s">
        <v>25</v>
      </c>
      <c r="C490" s="11">
        <v>42.296436</v>
      </c>
      <c r="D490" s="11">
        <v>0.082818</v>
      </c>
      <c r="E490" s="11">
        <v>0.000612</v>
      </c>
      <c r="F490" s="10">
        <v>17.12</v>
      </c>
      <c r="G490" s="10">
        <v>161.29419202</v>
      </c>
      <c r="H490" s="10">
        <v>2489</v>
      </c>
      <c r="I490" s="10">
        <v>2223</v>
      </c>
      <c r="J490" s="12">
        <v>0.893129770992366</v>
      </c>
      <c r="K490" s="10">
        <v>175420</v>
      </c>
      <c r="L490" s="10">
        <v>0.369489961835558</v>
      </c>
      <c r="M490" s="10">
        <v>0.267632613416657</v>
      </c>
      <c r="N490" s="10">
        <v>11683.02</v>
      </c>
      <c r="O490" s="10">
        <v>11366.7</v>
      </c>
      <c r="P490" s="10">
        <v>43653.2</v>
      </c>
      <c r="Q490" s="12">
        <v>0.260386409243767</v>
      </c>
    </row>
    <row r="491" spans="1:17">
      <c r="A491" s="10">
        <v>2021</v>
      </c>
      <c r="B491" s="10" t="s">
        <v>26</v>
      </c>
      <c r="C491" s="11">
        <v>703.21572</v>
      </c>
      <c r="D491" s="11">
        <v>16.255899</v>
      </c>
      <c r="E491" s="11">
        <v>0.041922</v>
      </c>
      <c r="F491" s="10">
        <v>31.44</v>
      </c>
      <c r="G491" s="10">
        <v>669.2206742</v>
      </c>
      <c r="H491" s="10">
        <v>8505</v>
      </c>
      <c r="I491" s="10">
        <v>6289</v>
      </c>
      <c r="J491" s="12">
        <v>0.739447383891828</v>
      </c>
      <c r="K491" s="10">
        <v>138255</v>
      </c>
      <c r="L491" s="10">
        <v>0.570071549947015</v>
      </c>
      <c r="M491" s="10">
        <v>0.295418953867542</v>
      </c>
      <c r="N491" s="10">
        <v>34679.94</v>
      </c>
      <c r="O491" s="10">
        <v>52678.7</v>
      </c>
      <c r="P491" s="10">
        <v>117392.4</v>
      </c>
      <c r="Q491" s="12">
        <v>0.448740293238745</v>
      </c>
    </row>
    <row r="492" spans="1:17">
      <c r="A492" s="10">
        <v>2021</v>
      </c>
      <c r="B492" s="10" t="s">
        <v>27</v>
      </c>
      <c r="C492" s="11">
        <v>246.108321</v>
      </c>
      <c r="D492" s="11">
        <v>668.310246</v>
      </c>
      <c r="E492" s="11">
        <v>0.101394</v>
      </c>
      <c r="F492" s="10">
        <v>18.32</v>
      </c>
      <c r="G492" s="10">
        <v>526.008999293333</v>
      </c>
      <c r="H492" s="10">
        <v>6540</v>
      </c>
      <c r="I492" s="10">
        <v>4752</v>
      </c>
      <c r="J492" s="12">
        <v>0.726605504587156</v>
      </c>
      <c r="K492" s="10">
        <v>113839</v>
      </c>
      <c r="L492" s="10">
        <v>0.710431274774629</v>
      </c>
      <c r="M492" s="10">
        <v>0.359626962431524</v>
      </c>
      <c r="N492" s="10">
        <v>26627.068</v>
      </c>
      <c r="O492" s="10">
        <v>31174</v>
      </c>
      <c r="P492" s="10">
        <v>74040.8</v>
      </c>
      <c r="Q492" s="12">
        <v>0.421038130328143</v>
      </c>
    </row>
    <row r="493" spans="1:17">
      <c r="A493" s="10">
        <v>2021</v>
      </c>
      <c r="B493" s="10" t="s">
        <v>28</v>
      </c>
      <c r="C493" s="11">
        <v>833.990157</v>
      </c>
      <c r="D493" s="11">
        <v>365.1588</v>
      </c>
      <c r="E493" s="11">
        <v>0.43164</v>
      </c>
      <c r="F493" s="10">
        <v>12.76</v>
      </c>
      <c r="G493" s="10">
        <v>415.063909</v>
      </c>
      <c r="H493" s="10">
        <v>6113</v>
      </c>
      <c r="I493" s="10">
        <v>3631</v>
      </c>
      <c r="J493" s="12">
        <v>0.593980042532308</v>
      </c>
      <c r="K493" s="10">
        <v>69676</v>
      </c>
      <c r="L493" s="10">
        <v>0.975125005873343</v>
      </c>
      <c r="M493" s="10">
        <v>0.360450085985735</v>
      </c>
      <c r="N493" s="10">
        <v>15342.63</v>
      </c>
      <c r="O493" s="10">
        <v>17240.1</v>
      </c>
      <c r="P493" s="10">
        <v>42565.2</v>
      </c>
      <c r="Q493" s="12">
        <v>0.405028051083984</v>
      </c>
    </row>
    <row r="494" spans="1:17">
      <c r="A494" s="10">
        <v>2021</v>
      </c>
      <c r="B494" s="10" t="s">
        <v>29</v>
      </c>
      <c r="C494" s="11">
        <v>169.964595</v>
      </c>
      <c r="D494" s="11">
        <v>994.095864</v>
      </c>
      <c r="E494" s="11">
        <v>0.469953</v>
      </c>
      <c r="F494" s="10">
        <v>8.09</v>
      </c>
      <c r="G494" s="10">
        <v>314.539361734444</v>
      </c>
      <c r="H494" s="10">
        <v>4187</v>
      </c>
      <c r="I494" s="10">
        <v>2918</v>
      </c>
      <c r="J494" s="12">
        <v>0.69691903510867</v>
      </c>
      <c r="K494" s="10">
        <v>118750</v>
      </c>
      <c r="L494" s="10">
        <v>0.634585657807341</v>
      </c>
      <c r="M494" s="10">
        <v>0.3058039668241</v>
      </c>
      <c r="N494" s="10">
        <v>15157.51</v>
      </c>
      <c r="O494" s="10">
        <v>23319.8</v>
      </c>
      <c r="P494" s="10">
        <v>49566.1</v>
      </c>
      <c r="Q494" s="12">
        <v>0.470478815157941</v>
      </c>
    </row>
    <row r="495" spans="1:17">
      <c r="A495" s="10">
        <v>2021</v>
      </c>
      <c r="B495" s="10" t="s">
        <v>30</v>
      </c>
      <c r="C495" s="11">
        <v>487.818495</v>
      </c>
      <c r="D495" s="11">
        <v>1057.920696</v>
      </c>
      <c r="E495" s="11">
        <v>0.576738</v>
      </c>
      <c r="F495" s="10">
        <v>7.96</v>
      </c>
      <c r="G495" s="10">
        <v>189.236578366667</v>
      </c>
      <c r="H495" s="10">
        <v>4517</v>
      </c>
      <c r="I495" s="10">
        <v>2776</v>
      </c>
      <c r="J495" s="12">
        <v>0.614567190613239</v>
      </c>
      <c r="K495" s="10">
        <v>66020</v>
      </c>
      <c r="L495" s="10">
        <v>0.634430224041554</v>
      </c>
      <c r="M495" s="10">
        <v>0.352616686446872</v>
      </c>
      <c r="N495" s="10">
        <v>10517.78</v>
      </c>
      <c r="O495" s="10">
        <v>13230.7</v>
      </c>
      <c r="P495" s="10">
        <v>29827.8</v>
      </c>
      <c r="Q495" s="12">
        <v>0.443569421814549</v>
      </c>
    </row>
    <row r="496" spans="1:17">
      <c r="A496" s="10">
        <v>2021</v>
      </c>
      <c r="B496" s="10" t="s">
        <v>31</v>
      </c>
      <c r="C496" s="11">
        <v>1059.29991</v>
      </c>
      <c r="D496" s="11">
        <v>78.14754</v>
      </c>
      <c r="E496" s="11">
        <v>21.87981</v>
      </c>
      <c r="F496" s="10">
        <v>27.25</v>
      </c>
      <c r="G496" s="10">
        <v>1267.57222344444</v>
      </c>
      <c r="H496" s="10">
        <v>10170</v>
      </c>
      <c r="I496" s="10">
        <v>6503</v>
      </c>
      <c r="J496" s="12">
        <v>0.639429695181908</v>
      </c>
      <c r="K496" s="10">
        <v>81510</v>
      </c>
      <c r="L496" s="10">
        <v>1.52949522106064</v>
      </c>
      <c r="M496" s="10">
        <v>0.538292516941136</v>
      </c>
      <c r="N496" s="10">
        <v>44611.1</v>
      </c>
      <c r="O496" s="10">
        <v>32834.5</v>
      </c>
      <c r="P496" s="10">
        <v>82875.2</v>
      </c>
      <c r="Q496" s="12">
        <v>0.396192105720409</v>
      </c>
    </row>
    <row r="497" spans="1:17">
      <c r="A497" s="10">
        <v>2021</v>
      </c>
      <c r="B497" s="10" t="s">
        <v>32</v>
      </c>
      <c r="C497" s="11">
        <v>1083.52629</v>
      </c>
      <c r="D497" s="11">
        <v>296.395614</v>
      </c>
      <c r="E497" s="11">
        <v>18.827496</v>
      </c>
      <c r="F497" s="10">
        <v>12.82</v>
      </c>
      <c r="G497" s="10">
        <v>474.742947313333</v>
      </c>
      <c r="H497" s="10">
        <v>9883</v>
      </c>
      <c r="I497" s="10">
        <v>5579</v>
      </c>
      <c r="J497" s="12">
        <v>0.564504705049074</v>
      </c>
      <c r="K497" s="10">
        <v>58587</v>
      </c>
      <c r="L497" s="10">
        <v>0.817515932650725</v>
      </c>
      <c r="M497" s="10">
        <v>0.404691466022861</v>
      </c>
      <c r="N497" s="10">
        <v>23501</v>
      </c>
      <c r="O497" s="10">
        <v>23566.4</v>
      </c>
      <c r="P497" s="10">
        <v>58071.4</v>
      </c>
      <c r="Q497" s="12">
        <v>0.40581766583895</v>
      </c>
    </row>
    <row r="498" spans="1:17">
      <c r="A498" s="10">
        <v>2021</v>
      </c>
      <c r="B498" s="10" t="s">
        <v>33</v>
      </c>
      <c r="C498" s="11">
        <v>815.578686</v>
      </c>
      <c r="D498" s="11">
        <v>902.571705</v>
      </c>
      <c r="E498" s="11">
        <v>1.71765</v>
      </c>
      <c r="F498" s="10">
        <v>11.33</v>
      </c>
      <c r="G498" s="10">
        <v>286.9507376541</v>
      </c>
      <c r="H498" s="10">
        <v>5830</v>
      </c>
      <c r="I498" s="10">
        <v>3736</v>
      </c>
      <c r="J498" s="12">
        <v>0.64082332761578</v>
      </c>
      <c r="K498" s="10">
        <v>86551</v>
      </c>
      <c r="L498" s="10">
        <v>0.572856584897347</v>
      </c>
      <c r="M498" s="10">
        <v>0.363169498834127</v>
      </c>
      <c r="N498" s="10">
        <v>18191.596</v>
      </c>
      <c r="O498" s="10">
        <v>19332.1</v>
      </c>
      <c r="P498" s="10">
        <v>50091.2</v>
      </c>
      <c r="Q498" s="12">
        <v>0.385938048998626</v>
      </c>
    </row>
    <row r="499" spans="1:17">
      <c r="A499" s="10">
        <v>2021</v>
      </c>
      <c r="B499" s="10" t="s">
        <v>34</v>
      </c>
      <c r="C499" s="11">
        <v>713.669904</v>
      </c>
      <c r="D499" s="11">
        <v>1310.350059</v>
      </c>
      <c r="E499" s="11">
        <v>0.591021</v>
      </c>
      <c r="F499" s="10">
        <v>9.76</v>
      </c>
      <c r="G499" s="10">
        <v>218.0271955</v>
      </c>
      <c r="H499" s="10">
        <v>6622</v>
      </c>
      <c r="I499" s="10">
        <v>3954</v>
      </c>
      <c r="J499" s="12">
        <v>0.59710057384476</v>
      </c>
      <c r="K499" s="10">
        <v>68913</v>
      </c>
      <c r="L499" s="10">
        <v>0.476942687608693</v>
      </c>
      <c r="M499" s="10">
        <v>0.351993874894725</v>
      </c>
      <c r="N499" s="10">
        <v>16090.872</v>
      </c>
      <c r="O499" s="10">
        <v>17852.5</v>
      </c>
      <c r="P499" s="10">
        <v>45713.5</v>
      </c>
      <c r="Q499" s="12">
        <v>0.390530149736949</v>
      </c>
    </row>
    <row r="500" spans="1:17">
      <c r="A500" s="10">
        <v>2021</v>
      </c>
      <c r="B500" s="10" t="s">
        <v>35</v>
      </c>
      <c r="C500" s="11">
        <v>473.284188</v>
      </c>
      <c r="D500" s="11">
        <v>1136.379024</v>
      </c>
      <c r="E500" s="11">
        <v>0.98559</v>
      </c>
      <c r="F500" s="10">
        <v>53.29</v>
      </c>
      <c r="G500" s="10">
        <v>669.616771813293</v>
      </c>
      <c r="H500" s="10">
        <v>12684</v>
      </c>
      <c r="I500" s="10">
        <v>9466</v>
      </c>
      <c r="J500" s="12">
        <v>0.746294544307789</v>
      </c>
      <c r="K500" s="10">
        <v>98561</v>
      </c>
      <c r="L500" s="10">
        <v>0.536898217049694</v>
      </c>
      <c r="M500" s="10">
        <v>0.290422267568424</v>
      </c>
      <c r="N500" s="10">
        <v>36221.32</v>
      </c>
      <c r="O500" s="10">
        <v>50555.8</v>
      </c>
      <c r="P500" s="10">
        <v>124719.5</v>
      </c>
      <c r="Q500" s="12">
        <v>0.405356018906426</v>
      </c>
    </row>
    <row r="501" spans="1:17">
      <c r="A501" s="10">
        <v>2021</v>
      </c>
      <c r="B501" s="10" t="s">
        <v>36</v>
      </c>
      <c r="C501" s="11">
        <v>583.279425</v>
      </c>
      <c r="D501" s="11">
        <v>1679.59017</v>
      </c>
      <c r="E501" s="11">
        <v>1.396638</v>
      </c>
      <c r="F501" s="10">
        <v>7.61</v>
      </c>
      <c r="G501" s="10">
        <v>239.254768111111</v>
      </c>
      <c r="H501" s="10">
        <v>5037</v>
      </c>
      <c r="I501" s="10">
        <v>2774</v>
      </c>
      <c r="J501" s="12">
        <v>0.550724637681159</v>
      </c>
      <c r="K501" s="10">
        <v>50137</v>
      </c>
      <c r="L501" s="10">
        <v>0.949080959300852</v>
      </c>
      <c r="M501" s="10">
        <v>0.52318488164988</v>
      </c>
      <c r="N501" s="10">
        <v>13189.02</v>
      </c>
      <c r="O501" s="10">
        <v>8513.9</v>
      </c>
      <c r="P501" s="10">
        <v>25209.1</v>
      </c>
      <c r="Q501" s="12">
        <v>0.337731216108469</v>
      </c>
    </row>
    <row r="502" spans="1:17">
      <c r="A502" s="10">
        <v>2021</v>
      </c>
      <c r="B502" s="10" t="s">
        <v>37</v>
      </c>
      <c r="C502" s="11">
        <v>107.2116</v>
      </c>
      <c r="D502" s="11">
        <v>219.419046</v>
      </c>
      <c r="E502" s="11">
        <v>0.17604</v>
      </c>
      <c r="F502" s="10">
        <v>1.84</v>
      </c>
      <c r="G502" s="10">
        <v>68.4034085866667</v>
      </c>
      <c r="H502" s="10">
        <v>1020</v>
      </c>
      <c r="I502" s="10">
        <v>622</v>
      </c>
      <c r="J502" s="12">
        <v>0.609803921568628</v>
      </c>
      <c r="K502" s="10">
        <v>63991</v>
      </c>
      <c r="L502" s="10">
        <v>1.05169675414995</v>
      </c>
      <c r="M502" s="10">
        <v>0.376099690964161</v>
      </c>
      <c r="N502" s="10">
        <v>2446.19</v>
      </c>
      <c r="O502" s="10">
        <v>1240.8</v>
      </c>
      <c r="P502" s="10">
        <v>6504.1</v>
      </c>
      <c r="Q502" s="12">
        <v>0.190771974600636</v>
      </c>
    </row>
    <row r="503" spans="1:17">
      <c r="A503" s="10">
        <v>2021</v>
      </c>
      <c r="B503" s="10" t="s">
        <v>38</v>
      </c>
      <c r="C503" s="11">
        <v>345.412197</v>
      </c>
      <c r="D503" s="11">
        <v>447.523587</v>
      </c>
      <c r="E503" s="11">
        <v>0.681984</v>
      </c>
      <c r="F503" s="10">
        <v>7.34</v>
      </c>
      <c r="G503" s="10">
        <v>122.33182304</v>
      </c>
      <c r="H503" s="10">
        <v>3212</v>
      </c>
      <c r="I503" s="10">
        <v>2259</v>
      </c>
      <c r="J503" s="12">
        <v>0.703300124533001</v>
      </c>
      <c r="K503" s="10">
        <v>87450</v>
      </c>
      <c r="L503" s="10">
        <v>0.435696534353374</v>
      </c>
      <c r="M503" s="10">
        <v>0.286577056910743</v>
      </c>
      <c r="N503" s="10">
        <v>8046.31</v>
      </c>
      <c r="O503" s="10">
        <v>11217.3</v>
      </c>
      <c r="P503" s="10">
        <v>28077.3</v>
      </c>
      <c r="Q503" s="12">
        <v>0.399514910621748</v>
      </c>
    </row>
    <row r="504" spans="1:17">
      <c r="A504" s="10">
        <v>2021</v>
      </c>
      <c r="B504" s="10" t="s">
        <v>39</v>
      </c>
      <c r="C504" s="11">
        <v>1106.247006</v>
      </c>
      <c r="D504" s="11">
        <v>1972.963242</v>
      </c>
      <c r="E504" s="11">
        <v>1599.386382</v>
      </c>
      <c r="F504" s="10">
        <v>13.95</v>
      </c>
      <c r="G504" s="10">
        <v>268.881224333333</v>
      </c>
      <c r="H504" s="10">
        <v>8372</v>
      </c>
      <c r="I504" s="10">
        <v>4841</v>
      </c>
      <c r="J504" s="12">
        <v>0.578236980410893</v>
      </c>
      <c r="K504" s="10">
        <v>64610</v>
      </c>
      <c r="L504" s="10">
        <v>0.497118074865651</v>
      </c>
      <c r="M504" s="10">
        <v>0.318763866291969</v>
      </c>
      <c r="N504" s="10">
        <v>17241.3</v>
      </c>
      <c r="O504" s="10">
        <v>19949.7</v>
      </c>
      <c r="P504" s="10">
        <v>54088</v>
      </c>
      <c r="Q504" s="12">
        <v>0.368837819849135</v>
      </c>
    </row>
    <row r="505" spans="1:17">
      <c r="A505" s="10">
        <v>2021</v>
      </c>
      <c r="B505" s="10" t="s">
        <v>40</v>
      </c>
      <c r="C505" s="11">
        <v>584.087175</v>
      </c>
      <c r="D505" s="11">
        <v>1085.466843</v>
      </c>
      <c r="E505" s="11">
        <v>22.439169</v>
      </c>
      <c r="F505" s="10">
        <v>9.94</v>
      </c>
      <c r="G505" s="10">
        <v>295.439162133333</v>
      </c>
      <c r="H505" s="10">
        <v>3852</v>
      </c>
      <c r="I505" s="10">
        <v>2093</v>
      </c>
      <c r="J505" s="12">
        <v>0.543354101765317</v>
      </c>
      <c r="K505" s="10">
        <v>50476</v>
      </c>
      <c r="L505" s="10">
        <v>1.51829608570675</v>
      </c>
      <c r="M505" s="10">
        <v>0.578860760794713</v>
      </c>
      <c r="N505" s="10">
        <v>11263.82</v>
      </c>
      <c r="O505" s="10">
        <v>6850.5</v>
      </c>
      <c r="P505" s="10">
        <v>19458.6</v>
      </c>
      <c r="Q505" s="12">
        <v>0.352055132435016</v>
      </c>
    </row>
    <row r="506" spans="1:17">
      <c r="A506" s="10">
        <v>2021</v>
      </c>
      <c r="B506" s="10" t="s">
        <v>41</v>
      </c>
      <c r="C506" s="11">
        <v>836.31258</v>
      </c>
      <c r="D506" s="11">
        <v>2634.745752</v>
      </c>
      <c r="E506" s="11">
        <v>218.844999</v>
      </c>
      <c r="F506" s="10">
        <v>5.32</v>
      </c>
      <c r="G506" s="10">
        <v>203.993959430179</v>
      </c>
      <c r="H506" s="10">
        <v>4690</v>
      </c>
      <c r="I506" s="10">
        <v>2394</v>
      </c>
      <c r="J506" s="12">
        <v>0.51044776119403</v>
      </c>
      <c r="K506" s="10">
        <v>57717</v>
      </c>
      <c r="L506" s="10">
        <v>0.751038081078358</v>
      </c>
      <c r="M506" s="10">
        <v>0.494313663407163</v>
      </c>
      <c r="N506" s="10">
        <v>13426.35</v>
      </c>
      <c r="O506" s="10">
        <v>9537.2</v>
      </c>
      <c r="P506" s="10">
        <v>27161.6</v>
      </c>
      <c r="Q506" s="12">
        <v>0.351128063147974</v>
      </c>
    </row>
    <row r="507" spans="1:17">
      <c r="A507" s="10">
        <v>2021</v>
      </c>
      <c r="B507" s="10" t="s">
        <v>42</v>
      </c>
      <c r="C507" s="11">
        <v>504.207441</v>
      </c>
      <c r="D507" s="11">
        <v>937.744227</v>
      </c>
      <c r="E507" s="11">
        <v>548.57367</v>
      </c>
      <c r="F507" s="10">
        <v>7.62</v>
      </c>
      <c r="G507" s="10">
        <v>571.86639062</v>
      </c>
      <c r="H507" s="10">
        <v>3954</v>
      </c>
      <c r="I507" s="10">
        <v>2516</v>
      </c>
      <c r="J507" s="12">
        <v>0.636317653009611</v>
      </c>
      <c r="K507" s="10">
        <v>76171</v>
      </c>
      <c r="L507" s="10">
        <v>1.89851964072413</v>
      </c>
      <c r="M507" s="10">
        <v>0.481886148524154</v>
      </c>
      <c r="N507" s="10">
        <v>14515.23</v>
      </c>
      <c r="O507" s="10">
        <v>14019</v>
      </c>
      <c r="P507" s="10">
        <v>30121.7</v>
      </c>
      <c r="Q507" s="12">
        <v>0.46541197873958</v>
      </c>
    </row>
    <row r="508" spans="1:17">
      <c r="A508" s="10">
        <v>2021</v>
      </c>
      <c r="B508" s="10" t="s">
        <v>43</v>
      </c>
      <c r="C508" s="11">
        <v>553.295592</v>
      </c>
      <c r="D508" s="11">
        <v>396.842139</v>
      </c>
      <c r="E508" s="11">
        <v>1525.673691</v>
      </c>
      <c r="F508" s="10">
        <v>3.12</v>
      </c>
      <c r="G508" s="10">
        <v>211.516886066667</v>
      </c>
      <c r="H508" s="10">
        <v>2490</v>
      </c>
      <c r="I508" s="10">
        <v>1328</v>
      </c>
      <c r="J508" s="12">
        <v>0.533333333333333</v>
      </c>
      <c r="K508" s="10">
        <v>40976</v>
      </c>
      <c r="L508" s="10">
        <v>2.06852365230714</v>
      </c>
      <c r="M508" s="10">
        <v>0.824823236027578</v>
      </c>
      <c r="N508" s="10">
        <v>8434.23</v>
      </c>
      <c r="O508" s="10">
        <v>3451.2</v>
      </c>
      <c r="P508" s="10">
        <v>10225.5</v>
      </c>
      <c r="Q508" s="12">
        <v>0.337509168255831</v>
      </c>
    </row>
    <row r="509" spans="1:17">
      <c r="A509" s="10">
        <v>2021</v>
      </c>
      <c r="B509" s="10" t="s">
        <v>44</v>
      </c>
      <c r="C509" s="11">
        <v>56.258415</v>
      </c>
      <c r="D509" s="11">
        <v>61.878717</v>
      </c>
      <c r="E509" s="11">
        <v>4521.156993</v>
      </c>
      <c r="F509" s="10">
        <v>0.87</v>
      </c>
      <c r="G509" s="10">
        <v>45.9872669666667</v>
      </c>
      <c r="H509" s="10">
        <v>594</v>
      </c>
      <c r="I509" s="10">
        <v>362</v>
      </c>
      <c r="J509" s="12">
        <v>0.609427609427609</v>
      </c>
      <c r="K509" s="10">
        <v>57036</v>
      </c>
      <c r="L509" s="10">
        <v>1.35852019044243</v>
      </c>
      <c r="M509" s="10">
        <v>1.38680393489114</v>
      </c>
      <c r="N509" s="10">
        <v>4694.47</v>
      </c>
      <c r="O509" s="10">
        <v>1364.7</v>
      </c>
      <c r="P509" s="10">
        <v>3385.1</v>
      </c>
      <c r="Q509" s="12">
        <v>0.403149094561461</v>
      </c>
    </row>
    <row r="510" spans="1:17">
      <c r="A510" s="10">
        <v>2021</v>
      </c>
      <c r="B510" s="10" t="s">
        <v>45</v>
      </c>
      <c r="C510" s="11">
        <v>137.109582</v>
      </c>
      <c r="D510" s="11">
        <v>8.685819</v>
      </c>
      <c r="E510" s="11">
        <v>340.967637</v>
      </c>
      <c r="F510" s="10">
        <v>2.71</v>
      </c>
      <c r="G510" s="10">
        <v>283.517073544444</v>
      </c>
      <c r="H510" s="10">
        <v>725</v>
      </c>
      <c r="I510" s="10">
        <v>479</v>
      </c>
      <c r="J510" s="12">
        <v>0.660689655172414</v>
      </c>
      <c r="K510" s="10">
        <v>63461</v>
      </c>
      <c r="L510" s="10">
        <v>6.17926580237227</v>
      </c>
      <c r="M510" s="10">
        <v>1.88239396713308</v>
      </c>
      <c r="N510" s="10">
        <v>8636.8</v>
      </c>
      <c r="O510" s="10">
        <v>2099.2</v>
      </c>
      <c r="P510" s="10">
        <v>4588.2</v>
      </c>
      <c r="Q510" s="12">
        <v>0.457521468113857</v>
      </c>
    </row>
    <row r="511" spans="1:17">
      <c r="A511" s="10">
        <v>2021</v>
      </c>
      <c r="B511" s="10" t="s">
        <v>46</v>
      </c>
      <c r="C511" s="11">
        <v>859.947165</v>
      </c>
      <c r="D511" s="11">
        <v>182.016594</v>
      </c>
      <c r="E511" s="11">
        <v>3747.219876</v>
      </c>
      <c r="F511" s="10">
        <v>8.56</v>
      </c>
      <c r="G511" s="10">
        <v>632.03459422</v>
      </c>
      <c r="H511" s="10">
        <v>2589</v>
      </c>
      <c r="I511" s="10">
        <v>1482</v>
      </c>
      <c r="J511" s="12">
        <v>0.572421784472769</v>
      </c>
      <c r="K511" s="10">
        <v>62991</v>
      </c>
      <c r="L511" s="10">
        <v>3.87475535336816</v>
      </c>
      <c r="M511" s="10">
        <v>1.20535220333995</v>
      </c>
      <c r="N511" s="10">
        <v>19661.223</v>
      </c>
      <c r="O511" s="10">
        <v>6295.9</v>
      </c>
      <c r="P511" s="10">
        <v>16311.6</v>
      </c>
      <c r="Q511" s="12">
        <v>0.385976850830084</v>
      </c>
    </row>
    <row r="512" spans="1:17">
      <c r="A512" s="10">
        <v>2022</v>
      </c>
      <c r="B512" s="10" t="s">
        <v>17</v>
      </c>
      <c r="C512" s="11">
        <v>41.627133</v>
      </c>
      <c r="D512" s="11">
        <v>79.896762</v>
      </c>
      <c r="E512" s="11">
        <v>3.534219</v>
      </c>
      <c r="F512" s="10">
        <v>9.36</v>
      </c>
      <c r="H512" s="16">
        <v>2184</v>
      </c>
      <c r="I512" s="10">
        <v>1913</v>
      </c>
      <c r="J512" s="12">
        <v>0.875915750915751</v>
      </c>
      <c r="K512" s="10">
        <v>189988</v>
      </c>
      <c r="O512" s="10">
        <v>6635.6</v>
      </c>
      <c r="P512" s="10">
        <v>41540.9</v>
      </c>
      <c r="Q512" s="12">
        <v>0.159736548798895</v>
      </c>
    </row>
    <row r="513" spans="1:17">
      <c r="A513" s="10">
        <v>2022</v>
      </c>
      <c r="B513" s="10" t="s">
        <v>18</v>
      </c>
      <c r="C513" s="11">
        <v>61.720092</v>
      </c>
      <c r="D513" s="11">
        <v>3.543255</v>
      </c>
      <c r="E513" s="11">
        <v>0.2313</v>
      </c>
      <c r="F513" s="10">
        <v>4.77</v>
      </c>
      <c r="H513" s="16">
        <v>1363</v>
      </c>
      <c r="I513" s="10">
        <v>1160</v>
      </c>
      <c r="J513" s="12">
        <v>0.851063829787234</v>
      </c>
      <c r="K513" s="10">
        <v>117925</v>
      </c>
      <c r="O513" s="10">
        <v>5982.3</v>
      </c>
      <c r="P513" s="10">
        <v>16132.2</v>
      </c>
      <c r="Q513" s="12">
        <v>0.370829769033362</v>
      </c>
    </row>
    <row r="514" spans="1:17">
      <c r="A514" s="10">
        <v>2022</v>
      </c>
      <c r="B514" s="10" t="s">
        <v>19</v>
      </c>
      <c r="C514" s="11">
        <v>837.352044</v>
      </c>
      <c r="D514" s="11">
        <v>453.405123</v>
      </c>
      <c r="E514" s="11">
        <v>311.38137</v>
      </c>
      <c r="F514" s="10">
        <v>10.06</v>
      </c>
      <c r="H514" s="16">
        <v>7420</v>
      </c>
      <c r="I514" s="10">
        <v>4575</v>
      </c>
      <c r="J514" s="12">
        <v>0.616576819407008</v>
      </c>
      <c r="K514" s="10">
        <v>56481</v>
      </c>
      <c r="O514" s="10">
        <v>16129.6</v>
      </c>
      <c r="P514" s="10">
        <v>41988</v>
      </c>
      <c r="Q514" s="12">
        <v>0.384147851767172</v>
      </c>
    </row>
    <row r="515" spans="1:17">
      <c r="A515" s="10">
        <v>2022</v>
      </c>
      <c r="B515" s="10" t="s">
        <v>20</v>
      </c>
      <c r="C515" s="11">
        <v>588.376809</v>
      </c>
      <c r="D515" s="11">
        <v>414.280062</v>
      </c>
      <c r="E515" s="11">
        <v>468.057285</v>
      </c>
      <c r="F515" s="10">
        <v>5.83</v>
      </c>
      <c r="H515" s="16">
        <v>3481</v>
      </c>
      <c r="I515" s="10">
        <v>2226</v>
      </c>
      <c r="J515" s="12">
        <v>0.639471416259696</v>
      </c>
      <c r="K515" s="10">
        <v>73506</v>
      </c>
      <c r="O515" s="10">
        <v>13848.5</v>
      </c>
      <c r="P515" s="10">
        <v>25583.9</v>
      </c>
      <c r="Q515" s="12">
        <v>0.541297456603567</v>
      </c>
    </row>
    <row r="516" spans="1:17">
      <c r="A516" s="10">
        <v>2022</v>
      </c>
      <c r="B516" s="10" t="s">
        <v>21</v>
      </c>
      <c r="C516" s="11">
        <v>1370.797956</v>
      </c>
      <c r="D516" s="11">
        <v>1794.465594</v>
      </c>
      <c r="E516" s="11">
        <v>5425.866162</v>
      </c>
      <c r="F516" s="10">
        <v>7.16</v>
      </c>
      <c r="H516" s="16">
        <v>2401</v>
      </c>
      <c r="I516" s="10">
        <v>1647</v>
      </c>
      <c r="J516" s="12">
        <v>0.685964181591004</v>
      </c>
      <c r="K516" s="10">
        <v>97433</v>
      </c>
      <c r="O516" s="10">
        <v>11352.5</v>
      </c>
      <c r="P516" s="10">
        <v>23388.9</v>
      </c>
      <c r="Q516" s="12">
        <v>0.485379816921702</v>
      </c>
    </row>
    <row r="517" spans="1:17">
      <c r="A517" s="10">
        <v>2022</v>
      </c>
      <c r="B517" s="10" t="s">
        <v>22</v>
      </c>
      <c r="C517" s="11">
        <v>710.580816</v>
      </c>
      <c r="D517" s="11">
        <v>519.906852</v>
      </c>
      <c r="E517" s="11">
        <v>54.029538</v>
      </c>
      <c r="F517" s="10">
        <v>15.05</v>
      </c>
      <c r="H517" s="16">
        <v>4197</v>
      </c>
      <c r="I517" s="10">
        <v>3064</v>
      </c>
      <c r="J517" s="12">
        <v>0.73004527043126</v>
      </c>
      <c r="K517" s="10">
        <v>68422</v>
      </c>
      <c r="O517" s="10">
        <v>11363.6</v>
      </c>
      <c r="P517" s="10">
        <v>28826.1</v>
      </c>
      <c r="Q517" s="12">
        <v>0.394212189647576</v>
      </c>
    </row>
    <row r="518" spans="1:17">
      <c r="A518" s="10">
        <v>2022</v>
      </c>
      <c r="B518" s="10" t="s">
        <v>23</v>
      </c>
      <c r="C518" s="11">
        <v>898.145325</v>
      </c>
      <c r="D518" s="11">
        <v>821.819457</v>
      </c>
      <c r="E518" s="11">
        <v>49.675023</v>
      </c>
      <c r="F518" s="10">
        <v>9.95</v>
      </c>
      <c r="H518" s="16">
        <v>2348</v>
      </c>
      <c r="I518" s="10">
        <v>1496</v>
      </c>
      <c r="J518" s="12">
        <v>0.637137989778535</v>
      </c>
      <c r="K518" s="10">
        <v>54279</v>
      </c>
      <c r="O518" s="10">
        <v>4370.2</v>
      </c>
      <c r="P518" s="10">
        <v>12818.1</v>
      </c>
      <c r="Q518" s="12">
        <v>0.340939764863747</v>
      </c>
    </row>
    <row r="519" spans="1:17">
      <c r="A519" s="10">
        <v>2022</v>
      </c>
      <c r="B519" s="10" t="s">
        <v>24</v>
      </c>
      <c r="C519" s="11">
        <v>2044.692198</v>
      </c>
      <c r="D519" s="11">
        <v>2200.449609</v>
      </c>
      <c r="E519" s="11">
        <v>66.166821</v>
      </c>
      <c r="F519" s="10">
        <v>7.45</v>
      </c>
      <c r="H519" s="16">
        <v>3099</v>
      </c>
      <c r="I519" s="10">
        <v>2052</v>
      </c>
      <c r="J519" s="12">
        <v>0.6621490803485</v>
      </c>
      <c r="K519" s="10">
        <v>50873</v>
      </c>
      <c r="O519" s="10">
        <v>4576.7</v>
      </c>
      <c r="P519" s="10">
        <v>15831.5</v>
      </c>
      <c r="Q519" s="12">
        <v>0.289088210213814</v>
      </c>
    </row>
    <row r="520" spans="1:17">
      <c r="A520" s="10">
        <v>2022</v>
      </c>
      <c r="B520" s="10" t="s">
        <v>25</v>
      </c>
      <c r="C520" s="11">
        <v>42.147243</v>
      </c>
      <c r="D520" s="11">
        <v>0.085977</v>
      </c>
      <c r="E520" s="11">
        <v>0.00126</v>
      </c>
      <c r="F520" s="10">
        <v>17.26</v>
      </c>
      <c r="H520" s="16">
        <v>2475</v>
      </c>
      <c r="I520" s="10">
        <v>2211</v>
      </c>
      <c r="J520" s="12">
        <v>0.893333333333333</v>
      </c>
      <c r="K520" s="10">
        <v>180536</v>
      </c>
      <c r="O520" s="10">
        <v>11407.2</v>
      </c>
      <c r="P520" s="10">
        <v>44809.1</v>
      </c>
      <c r="Q520" s="12">
        <v>0.254573289800509</v>
      </c>
    </row>
    <row r="521" spans="1:17">
      <c r="A521" s="10">
        <v>2022</v>
      </c>
      <c r="B521" s="10" t="s">
        <v>26</v>
      </c>
      <c r="C521" s="11">
        <v>706.985865</v>
      </c>
      <c r="D521" s="11">
        <v>16.627806</v>
      </c>
      <c r="E521" s="11">
        <v>0.058419</v>
      </c>
      <c r="F521" s="10">
        <v>31.97</v>
      </c>
      <c r="H521" s="16">
        <v>8515</v>
      </c>
      <c r="I521" s="10">
        <v>6337</v>
      </c>
      <c r="J521" s="12">
        <v>0.744216089254257</v>
      </c>
      <c r="K521" s="10">
        <v>143466</v>
      </c>
      <c r="O521" s="10">
        <v>54886.1</v>
      </c>
      <c r="P521" s="10">
        <v>122089.3</v>
      </c>
      <c r="Q521" s="12">
        <v>0.449557004585987</v>
      </c>
    </row>
    <row r="522" spans="1:17">
      <c r="A522" s="10">
        <v>2022</v>
      </c>
      <c r="B522" s="10" t="s">
        <v>27</v>
      </c>
      <c r="C522" s="11">
        <v>246.232017</v>
      </c>
      <c r="D522" s="11">
        <v>667.761453</v>
      </c>
      <c r="E522" s="11">
        <v>0.091512</v>
      </c>
      <c r="F522" s="10">
        <v>18.98</v>
      </c>
      <c r="H522" s="16">
        <v>6577</v>
      </c>
      <c r="I522" s="10">
        <v>4826</v>
      </c>
      <c r="J522" s="12">
        <v>0.733769195681922</v>
      </c>
      <c r="K522" s="10">
        <v>119022</v>
      </c>
      <c r="O522" s="10">
        <v>32973.8</v>
      </c>
      <c r="P522" s="10">
        <v>78060.6</v>
      </c>
      <c r="Q522" s="12">
        <v>0.422412843355034</v>
      </c>
    </row>
    <row r="523" spans="1:17">
      <c r="A523" s="10">
        <v>2022</v>
      </c>
      <c r="B523" s="10" t="s">
        <v>28</v>
      </c>
      <c r="C523" s="11">
        <v>836.755722</v>
      </c>
      <c r="D523" s="11">
        <v>365.433408</v>
      </c>
      <c r="E523" s="11">
        <v>0.440433</v>
      </c>
      <c r="F523" s="10">
        <v>13.24</v>
      </c>
      <c r="H523" s="16">
        <v>6127</v>
      </c>
      <c r="I523" s="10">
        <v>3686</v>
      </c>
      <c r="J523" s="12">
        <v>0.60159947772156</v>
      </c>
      <c r="K523" s="10">
        <v>72888</v>
      </c>
      <c r="O523" s="10">
        <v>17946.8</v>
      </c>
      <c r="P523" s="10">
        <v>44607.7</v>
      </c>
      <c r="Q523" s="12">
        <v>0.402325159109302</v>
      </c>
    </row>
    <row r="524" spans="1:17">
      <c r="A524" s="10">
        <v>2022</v>
      </c>
      <c r="B524" s="10" t="s">
        <v>29</v>
      </c>
      <c r="C524" s="11">
        <v>171.849528</v>
      </c>
      <c r="D524" s="11">
        <v>992.396223</v>
      </c>
      <c r="E524" s="11">
        <v>0.389403</v>
      </c>
      <c r="F524" s="10">
        <v>9.11</v>
      </c>
      <c r="H524" s="16">
        <v>4188</v>
      </c>
      <c r="I524" s="10">
        <v>2937</v>
      </c>
      <c r="J524" s="12">
        <v>0.701289398280802</v>
      </c>
      <c r="K524" s="10">
        <v>123618</v>
      </c>
      <c r="O524" s="10">
        <v>23125.3</v>
      </c>
      <c r="P524" s="10">
        <v>51765.1</v>
      </c>
      <c r="Q524" s="12">
        <v>0.446735348719504</v>
      </c>
    </row>
    <row r="525" spans="1:17">
      <c r="A525" s="10">
        <v>2022</v>
      </c>
      <c r="B525" s="10" t="s">
        <v>30</v>
      </c>
      <c r="C525" s="11">
        <v>496.808622</v>
      </c>
      <c r="D525" s="11">
        <v>1056.787119</v>
      </c>
      <c r="E525" s="11">
        <v>0.529866</v>
      </c>
      <c r="F525" s="10">
        <v>8.06</v>
      </c>
      <c r="H525" s="16">
        <v>4528</v>
      </c>
      <c r="I525" s="10">
        <v>2811</v>
      </c>
      <c r="J525" s="12">
        <v>0.620803886925795</v>
      </c>
      <c r="K525" s="10">
        <v>69019</v>
      </c>
      <c r="O525" s="10">
        <v>13483</v>
      </c>
      <c r="P525" s="10">
        <v>31213.8</v>
      </c>
      <c r="Q525" s="12">
        <v>0.431956378268586</v>
      </c>
    </row>
    <row r="526" spans="1:17">
      <c r="A526" s="10">
        <v>2022</v>
      </c>
      <c r="B526" s="10" t="s">
        <v>31</v>
      </c>
      <c r="C526" s="11">
        <v>1051.792839</v>
      </c>
      <c r="D526" s="11">
        <v>80.204967</v>
      </c>
      <c r="E526" s="11">
        <v>22.282614</v>
      </c>
      <c r="F526" s="10">
        <v>28.06</v>
      </c>
      <c r="H526" s="16">
        <v>10163</v>
      </c>
      <c r="I526" s="10">
        <v>6559</v>
      </c>
      <c r="J526" s="12">
        <v>0.645380301092197</v>
      </c>
      <c r="K526" s="10">
        <v>86143</v>
      </c>
      <c r="O526" s="10">
        <v>34562.3</v>
      </c>
      <c r="P526" s="10">
        <v>87576.9</v>
      </c>
      <c r="Q526" s="12">
        <v>0.394650872547441</v>
      </c>
    </row>
    <row r="527" spans="1:17">
      <c r="A527" s="10">
        <v>2022</v>
      </c>
      <c r="B527" s="10" t="s">
        <v>32</v>
      </c>
      <c r="C527" s="11">
        <v>1077.957108</v>
      </c>
      <c r="D527" s="11">
        <v>300.99654</v>
      </c>
      <c r="E527" s="11">
        <v>16.318737</v>
      </c>
      <c r="F527" s="10">
        <v>13.52</v>
      </c>
      <c r="H527" s="16">
        <v>9872</v>
      </c>
      <c r="I527" s="10">
        <v>5633</v>
      </c>
      <c r="J527" s="12">
        <v>0.570603727714749</v>
      </c>
      <c r="K527" s="10">
        <v>58942</v>
      </c>
      <c r="O527" s="10">
        <v>22140.6</v>
      </c>
      <c r="P527" s="10">
        <v>58220.1</v>
      </c>
      <c r="Q527" s="12">
        <v>0.380291342680621</v>
      </c>
    </row>
    <row r="528" spans="1:17">
      <c r="A528" s="10">
        <v>2022</v>
      </c>
      <c r="B528" s="10" t="s">
        <v>33</v>
      </c>
      <c r="C528" s="11">
        <v>810.477594</v>
      </c>
      <c r="D528" s="11">
        <v>909.69363</v>
      </c>
      <c r="E528" s="11">
        <v>1.680246</v>
      </c>
      <c r="F528" s="10">
        <v>11.8</v>
      </c>
      <c r="H528" s="16">
        <v>5844</v>
      </c>
      <c r="I528" s="10">
        <v>3779</v>
      </c>
      <c r="J528" s="12">
        <v>0.646646132785763</v>
      </c>
      <c r="K528" s="10">
        <v>90358</v>
      </c>
      <c r="O528" s="10">
        <v>19793.7</v>
      </c>
      <c r="P528" s="10">
        <v>52741.7</v>
      </c>
      <c r="Q528" s="12">
        <v>0.375295070124778</v>
      </c>
    </row>
    <row r="529" spans="1:17">
      <c r="A529" s="10">
        <v>2022</v>
      </c>
      <c r="B529" s="10" t="s">
        <v>34</v>
      </c>
      <c r="C529" s="11">
        <v>706.652307</v>
      </c>
      <c r="D529" s="11">
        <v>1319.733189</v>
      </c>
      <c r="E529" s="11">
        <v>0.455193</v>
      </c>
      <c r="F529" s="10">
        <v>9.94</v>
      </c>
      <c r="H529" s="16">
        <v>6604</v>
      </c>
      <c r="I529" s="10">
        <v>3983</v>
      </c>
      <c r="J529" s="12">
        <v>0.603119321623259</v>
      </c>
      <c r="K529" s="10">
        <v>71917</v>
      </c>
      <c r="O529" s="10">
        <v>17899.8</v>
      </c>
      <c r="P529" s="10">
        <v>47558.6</v>
      </c>
      <c r="Q529" s="12">
        <v>0.376373568607991</v>
      </c>
    </row>
    <row r="530" spans="1:17">
      <c r="A530" s="10">
        <v>2022</v>
      </c>
      <c r="B530" s="10" t="s">
        <v>35</v>
      </c>
      <c r="C530" s="11">
        <v>480.140253</v>
      </c>
      <c r="D530" s="11">
        <v>1134.445977</v>
      </c>
      <c r="E530" s="11">
        <v>0.788643</v>
      </c>
      <c r="F530" s="10">
        <v>53.96</v>
      </c>
      <c r="H530" s="16">
        <v>12657</v>
      </c>
      <c r="I530" s="10">
        <v>9465</v>
      </c>
      <c r="J530" s="12">
        <v>0.747807537331121</v>
      </c>
      <c r="K530" s="10">
        <v>102217</v>
      </c>
      <c r="O530" s="10">
        <v>52620.7</v>
      </c>
      <c r="P530" s="10">
        <v>129513.6</v>
      </c>
      <c r="Q530" s="12">
        <v>0.406294782941714</v>
      </c>
    </row>
    <row r="531" spans="1:17">
      <c r="A531" s="10">
        <v>2022</v>
      </c>
      <c r="B531" s="10" t="s">
        <v>36</v>
      </c>
      <c r="C531" s="11">
        <v>587.367837</v>
      </c>
      <c r="D531" s="11">
        <v>1686.691791</v>
      </c>
      <c r="E531" s="11">
        <v>1.16739</v>
      </c>
      <c r="F531" s="10">
        <v>8.12</v>
      </c>
      <c r="H531" s="16">
        <v>5047</v>
      </c>
      <c r="I531" s="10">
        <v>2809</v>
      </c>
      <c r="J531" s="12">
        <v>0.55656825837131</v>
      </c>
      <c r="K531" s="10">
        <v>51936</v>
      </c>
      <c r="O531" s="10">
        <v>8819.3</v>
      </c>
      <c r="P531" s="10">
        <v>26186.1</v>
      </c>
      <c r="Q531" s="12">
        <v>0.336793184170228</v>
      </c>
    </row>
    <row r="532" spans="1:17">
      <c r="A532" s="10">
        <v>2022</v>
      </c>
      <c r="B532" s="10" t="s">
        <v>37</v>
      </c>
      <c r="C532" s="11">
        <v>106.11657</v>
      </c>
      <c r="D532" s="11">
        <v>220.823325</v>
      </c>
      <c r="E532" s="11">
        <v>0.11205</v>
      </c>
      <c r="F532" s="10">
        <v>1.97</v>
      </c>
      <c r="H532" s="16">
        <v>1027</v>
      </c>
      <c r="I532" s="10">
        <v>631</v>
      </c>
      <c r="J532" s="12">
        <v>0.614410905550146</v>
      </c>
      <c r="K532" s="10">
        <v>67314</v>
      </c>
      <c r="O532" s="10">
        <v>1308.7</v>
      </c>
      <c r="P532" s="10">
        <v>6889.6</v>
      </c>
      <c r="Q532" s="12">
        <v>0.189952972596377</v>
      </c>
    </row>
    <row r="533" spans="1:17">
      <c r="A533" s="10">
        <v>2022</v>
      </c>
      <c r="B533" s="10" t="s">
        <v>38</v>
      </c>
      <c r="C533" s="11">
        <v>342.773064</v>
      </c>
      <c r="D533" s="11">
        <v>451.358712</v>
      </c>
      <c r="E533" s="11">
        <v>0.637371</v>
      </c>
      <c r="F533" s="10">
        <v>7.66</v>
      </c>
      <c r="H533" s="16">
        <v>3213</v>
      </c>
      <c r="I533" s="10">
        <v>2280</v>
      </c>
      <c r="J533" s="12">
        <v>0.709617180205416</v>
      </c>
      <c r="K533" s="10">
        <v>88953</v>
      </c>
      <c r="O533" s="10">
        <v>11047.4</v>
      </c>
      <c r="P533" s="10">
        <v>28576.1</v>
      </c>
      <c r="Q533" s="12">
        <v>0.386595791588075</v>
      </c>
    </row>
    <row r="534" spans="1:17">
      <c r="A534" s="10">
        <v>2022</v>
      </c>
      <c r="B534" s="10" t="s">
        <v>39</v>
      </c>
      <c r="C534" s="11">
        <v>1098.46548</v>
      </c>
      <c r="D534" s="11">
        <v>1983.626577</v>
      </c>
      <c r="E534" s="11">
        <v>1600.797366</v>
      </c>
      <c r="F534" s="10">
        <v>14.35</v>
      </c>
      <c r="H534" s="16">
        <v>8374</v>
      </c>
      <c r="I534" s="10">
        <v>4886</v>
      </c>
      <c r="J534" s="12">
        <v>0.583472653451158</v>
      </c>
      <c r="K534" s="10">
        <v>67610</v>
      </c>
      <c r="O534" s="10">
        <v>20591.4</v>
      </c>
      <c r="P534" s="10">
        <v>56610.2</v>
      </c>
      <c r="Q534" s="12">
        <v>0.363740103373597</v>
      </c>
    </row>
    <row r="535" spans="1:17">
      <c r="A535" s="10">
        <v>2022</v>
      </c>
      <c r="B535" s="10" t="s">
        <v>40</v>
      </c>
      <c r="C535" s="11">
        <v>581.473485</v>
      </c>
      <c r="D535" s="11">
        <v>1100.601882</v>
      </c>
      <c r="E535" s="11">
        <v>19.978281</v>
      </c>
      <c r="F535" s="10">
        <v>10.05</v>
      </c>
      <c r="H535" s="16">
        <v>3856</v>
      </c>
      <c r="I535" s="10">
        <v>2114</v>
      </c>
      <c r="J535" s="12">
        <v>0.548236514522822</v>
      </c>
      <c r="K535" s="10">
        <v>51921</v>
      </c>
      <c r="O535" s="10">
        <v>7052.7</v>
      </c>
      <c r="P535" s="10">
        <v>20010.4</v>
      </c>
      <c r="Q535" s="12">
        <v>0.352451725102946</v>
      </c>
    </row>
    <row r="536" spans="1:17">
      <c r="A536" s="10">
        <v>2022</v>
      </c>
      <c r="B536" s="10" t="s">
        <v>41</v>
      </c>
      <c r="C536" s="11">
        <v>832.995828</v>
      </c>
      <c r="D536" s="11">
        <v>2658.690315</v>
      </c>
      <c r="E536" s="11">
        <v>210.047841</v>
      </c>
      <c r="F536" s="10">
        <v>6.33</v>
      </c>
      <c r="H536" s="16">
        <v>4693</v>
      </c>
      <c r="I536" s="10">
        <v>2427</v>
      </c>
      <c r="J536" s="12">
        <v>0.517153206903899</v>
      </c>
      <c r="K536" s="10">
        <v>60868</v>
      </c>
      <c r="O536" s="10">
        <v>10120.3</v>
      </c>
      <c r="P536" s="10">
        <v>28556.1</v>
      </c>
      <c r="Q536" s="12">
        <v>0.354400635941182</v>
      </c>
    </row>
    <row r="537" spans="1:17">
      <c r="A537" s="10">
        <v>2022</v>
      </c>
      <c r="B537" s="10" t="s">
        <v>42</v>
      </c>
      <c r="C537" s="11">
        <v>522.411984</v>
      </c>
      <c r="D537" s="11">
        <v>948.953997</v>
      </c>
      <c r="E537" s="11">
        <v>519.030486</v>
      </c>
      <c r="F537" s="10">
        <v>8.03</v>
      </c>
      <c r="H537" s="16">
        <v>3956</v>
      </c>
      <c r="I537" s="10">
        <v>2532</v>
      </c>
      <c r="J537" s="12">
        <v>0.640040444893832</v>
      </c>
      <c r="K537" s="10">
        <v>83030</v>
      </c>
      <c r="O537" s="10">
        <v>15937.2</v>
      </c>
      <c r="P537" s="10">
        <v>32838.2</v>
      </c>
      <c r="Q537" s="12">
        <v>0.485325017814618</v>
      </c>
    </row>
    <row r="538" spans="1:17">
      <c r="A538" s="10">
        <v>2022</v>
      </c>
      <c r="B538" s="10" t="s">
        <v>43</v>
      </c>
      <c r="C538" s="11">
        <v>525.481533</v>
      </c>
      <c r="D538" s="11">
        <v>399.336255</v>
      </c>
      <c r="E538" s="11">
        <v>1542.155985</v>
      </c>
      <c r="F538" s="10">
        <v>3.28</v>
      </c>
      <c r="H538" s="16">
        <v>2492</v>
      </c>
      <c r="I538" s="10">
        <v>1351</v>
      </c>
      <c r="J538" s="12">
        <v>0.542134831460674</v>
      </c>
      <c r="K538" s="10">
        <v>44646</v>
      </c>
      <c r="O538" s="10">
        <v>3928.3</v>
      </c>
      <c r="P538" s="10">
        <v>11121.4</v>
      </c>
      <c r="Q538" s="12">
        <v>0.353219918355603</v>
      </c>
    </row>
    <row r="539" spans="1:17">
      <c r="A539" s="10">
        <v>2022</v>
      </c>
      <c r="B539" s="10" t="s">
        <v>44</v>
      </c>
      <c r="C539" s="11">
        <v>57.120066</v>
      </c>
      <c r="D539" s="11">
        <v>62.550162</v>
      </c>
      <c r="E539" s="11">
        <v>4529.910177</v>
      </c>
      <c r="F539" s="10">
        <v>0.92</v>
      </c>
      <c r="H539" s="16">
        <v>595</v>
      </c>
      <c r="I539" s="10">
        <v>366</v>
      </c>
      <c r="J539" s="12">
        <v>0.615126050420168</v>
      </c>
      <c r="K539" s="10">
        <v>60946</v>
      </c>
      <c r="O539" s="10">
        <v>1591</v>
      </c>
      <c r="P539" s="10">
        <v>3623.3</v>
      </c>
      <c r="Q539" s="12">
        <v>0.43910247564375</v>
      </c>
    </row>
    <row r="540" spans="1:17">
      <c r="A540" s="10">
        <v>2022</v>
      </c>
      <c r="B540" s="10" t="s">
        <v>45</v>
      </c>
      <c r="C540" s="11">
        <v>128.574162</v>
      </c>
      <c r="D540" s="11">
        <v>8.401437</v>
      </c>
      <c r="E540" s="11">
        <v>350.162298</v>
      </c>
      <c r="F540" s="10">
        <v>2.64</v>
      </c>
      <c r="H540" s="16">
        <v>728</v>
      </c>
      <c r="I540" s="10">
        <v>483</v>
      </c>
      <c r="J540" s="12">
        <v>0.663461538461538</v>
      </c>
      <c r="K540" s="10">
        <v>70263</v>
      </c>
      <c r="O540" s="10">
        <v>2439.1</v>
      </c>
      <c r="P540" s="10">
        <v>5104.6</v>
      </c>
      <c r="Q540" s="12">
        <v>0.477823923519962</v>
      </c>
    </row>
    <row r="541" spans="1:17">
      <c r="A541" s="10">
        <v>2022</v>
      </c>
      <c r="B541" s="10" t="s">
        <v>46</v>
      </c>
      <c r="C541" s="11">
        <v>867.742794</v>
      </c>
      <c r="D541" s="11">
        <v>184.623966</v>
      </c>
      <c r="E541" s="11">
        <v>3722.118291</v>
      </c>
      <c r="F541" s="10">
        <v>9.06</v>
      </c>
      <c r="H541" s="16">
        <v>2587</v>
      </c>
      <c r="I541" s="10">
        <v>1498</v>
      </c>
      <c r="J541" s="12">
        <v>0.579049091611906</v>
      </c>
      <c r="K541" s="10">
        <v>69717</v>
      </c>
      <c r="O541" s="10">
        <v>7412.3</v>
      </c>
      <c r="P541" s="10">
        <v>18042.7</v>
      </c>
      <c r="Q541" s="12">
        <v>0.410819888375908</v>
      </c>
    </row>
    <row r="542" spans="1:17">
      <c r="A542" s="10">
        <v>2023</v>
      </c>
      <c r="B542" s="10" t="s">
        <v>17</v>
      </c>
      <c r="F542" s="10">
        <v>9.41</v>
      </c>
      <c r="H542" s="16">
        <v>2186</v>
      </c>
      <c r="I542" s="10">
        <v>1920</v>
      </c>
      <c r="J542" s="12">
        <v>0.878316559926807</v>
      </c>
      <c r="K542" s="10">
        <v>200278</v>
      </c>
      <c r="O542" s="10">
        <v>6525.6</v>
      </c>
      <c r="P542" s="10">
        <v>43760.7</v>
      </c>
      <c r="Q542" s="12">
        <v>0.149120100912463</v>
      </c>
    </row>
    <row r="543" spans="1:17">
      <c r="A543" s="10">
        <v>2023</v>
      </c>
      <c r="B543" s="10" t="s">
        <v>18</v>
      </c>
      <c r="F543" s="10">
        <v>4.85</v>
      </c>
      <c r="H543" s="16">
        <v>1364</v>
      </c>
      <c r="I543" s="10">
        <v>1166</v>
      </c>
      <c r="J543" s="12">
        <v>0.854838709677419</v>
      </c>
      <c r="K543" s="10">
        <v>122752</v>
      </c>
      <c r="O543" s="10">
        <v>5982.6</v>
      </c>
      <c r="P543" s="10">
        <v>16737.3</v>
      </c>
      <c r="Q543" s="12">
        <v>0.357441164345504</v>
      </c>
    </row>
    <row r="544" spans="1:17">
      <c r="A544" s="10">
        <v>2023</v>
      </c>
      <c r="B544" s="10" t="s">
        <v>19</v>
      </c>
      <c r="F544" s="10">
        <v>10.63</v>
      </c>
      <c r="H544" s="16">
        <v>7393</v>
      </c>
      <c r="I544" s="10">
        <v>4641</v>
      </c>
      <c r="J544" s="12">
        <v>0.627755985391587</v>
      </c>
      <c r="K544" s="10">
        <v>59332</v>
      </c>
      <c r="O544" s="10">
        <v>16435.3</v>
      </c>
      <c r="P544" s="10">
        <v>43944.1</v>
      </c>
      <c r="Q544" s="12">
        <v>0.374004701427495</v>
      </c>
    </row>
    <row r="545" spans="1:17">
      <c r="A545" s="10">
        <v>2023</v>
      </c>
      <c r="B545" s="10" t="s">
        <v>20</v>
      </c>
      <c r="F545" s="10">
        <v>5.94</v>
      </c>
      <c r="H545" s="16">
        <v>3466</v>
      </c>
      <c r="I545" s="10">
        <v>2252</v>
      </c>
      <c r="J545" s="12">
        <v>0.649740334679746</v>
      </c>
      <c r="K545" s="10">
        <v>73984</v>
      </c>
      <c r="O545" s="10">
        <v>13329.7</v>
      </c>
      <c r="P545" s="10">
        <v>25698.2</v>
      </c>
      <c r="Q545" s="12">
        <v>0.518701698951678</v>
      </c>
    </row>
    <row r="546" spans="1:17">
      <c r="A546" s="10">
        <v>2023</v>
      </c>
      <c r="B546" s="10" t="s">
        <v>21</v>
      </c>
      <c r="F546" s="10">
        <v>7.21</v>
      </c>
      <c r="H546" s="16">
        <v>2396</v>
      </c>
      <c r="I546" s="10">
        <v>1667</v>
      </c>
      <c r="J546" s="12">
        <v>0.695742904841402</v>
      </c>
      <c r="K546" s="10">
        <v>102677</v>
      </c>
      <c r="O546" s="10">
        <v>11703.6</v>
      </c>
      <c r="P546" s="10">
        <v>24627</v>
      </c>
      <c r="Q546" s="12">
        <v>0.475234498720916</v>
      </c>
    </row>
    <row r="547" spans="1:17">
      <c r="A547" s="10">
        <v>2023</v>
      </c>
      <c r="B547" s="10" t="s">
        <v>22</v>
      </c>
      <c r="F547" s="10">
        <v>15.3</v>
      </c>
      <c r="H547" s="16">
        <v>4182</v>
      </c>
      <c r="I547" s="10">
        <v>3074</v>
      </c>
      <c r="J547" s="12">
        <v>0.7350549976088</v>
      </c>
      <c r="K547" s="10">
        <v>72107</v>
      </c>
      <c r="O547" s="10">
        <v>11734.5</v>
      </c>
      <c r="P547" s="10">
        <v>30209.4</v>
      </c>
      <c r="Q547" s="12">
        <v>0.388438697888737</v>
      </c>
    </row>
    <row r="548" spans="1:17">
      <c r="A548" s="10">
        <v>2023</v>
      </c>
      <c r="B548" s="10" t="s">
        <v>23</v>
      </c>
      <c r="F548" s="10">
        <v>10.03</v>
      </c>
      <c r="H548" s="16">
        <v>2339</v>
      </c>
      <c r="I548" s="10">
        <v>1514</v>
      </c>
      <c r="J548" s="12">
        <v>0.647285164600257</v>
      </c>
      <c r="K548" s="10">
        <v>57739</v>
      </c>
      <c r="O548" s="10">
        <v>4585</v>
      </c>
      <c r="P548" s="10">
        <v>13531.2</v>
      </c>
      <c r="Q548" s="12">
        <v>0.338846517677663</v>
      </c>
    </row>
    <row r="549" spans="1:17">
      <c r="A549" s="10">
        <v>2023</v>
      </c>
      <c r="B549" s="10" t="s">
        <v>24</v>
      </c>
      <c r="F549" s="10">
        <v>7.76</v>
      </c>
      <c r="H549" s="16">
        <v>3062</v>
      </c>
      <c r="I549" s="10">
        <v>2055</v>
      </c>
      <c r="J549" s="12">
        <v>0.671129980404964</v>
      </c>
      <c r="K549" s="10">
        <v>51563</v>
      </c>
      <c r="O549" s="10">
        <v>4291.3</v>
      </c>
      <c r="P549" s="10">
        <v>15883.9</v>
      </c>
      <c r="Q549" s="12">
        <v>0.270166646730337</v>
      </c>
    </row>
    <row r="550" spans="1:17">
      <c r="A550" s="10">
        <v>2023</v>
      </c>
      <c r="B550" s="10" t="s">
        <v>25</v>
      </c>
      <c r="F550" s="10">
        <v>17.33</v>
      </c>
      <c r="H550" s="16">
        <v>2487</v>
      </c>
      <c r="I550" s="10">
        <v>2225</v>
      </c>
      <c r="J550" s="12">
        <v>0.894652191395255</v>
      </c>
      <c r="K550" s="10">
        <v>190321</v>
      </c>
      <c r="O550" s="10">
        <v>11613</v>
      </c>
      <c r="P550" s="10">
        <v>47218.7</v>
      </c>
      <c r="Q550" s="12">
        <v>0.245940697223769</v>
      </c>
    </row>
    <row r="551" spans="1:17">
      <c r="A551" s="10">
        <v>2023</v>
      </c>
      <c r="B551" s="10" t="s">
        <v>26</v>
      </c>
      <c r="F551" s="10">
        <v>32.25</v>
      </c>
      <c r="H551" s="16">
        <v>8526</v>
      </c>
      <c r="I551" s="10">
        <v>6398</v>
      </c>
      <c r="J551" s="12">
        <v>0.750410509031199</v>
      </c>
      <c r="K551" s="10">
        <v>150487</v>
      </c>
      <c r="O551" s="10">
        <v>56909.7</v>
      </c>
      <c r="P551" s="10">
        <v>128222.2</v>
      </c>
      <c r="Q551" s="12">
        <v>0.44383655872384</v>
      </c>
    </row>
    <row r="552" spans="1:17">
      <c r="A552" s="10">
        <v>2023</v>
      </c>
      <c r="B552" s="10" t="s">
        <v>27</v>
      </c>
      <c r="F552" s="10">
        <v>18.49</v>
      </c>
      <c r="H552" s="16">
        <v>6627</v>
      </c>
      <c r="I552" s="10">
        <v>4919</v>
      </c>
      <c r="J552" s="12">
        <v>0.742266485589256</v>
      </c>
      <c r="K552" s="10">
        <v>125043</v>
      </c>
      <c r="O552" s="10">
        <v>33952.7</v>
      </c>
      <c r="P552" s="10">
        <v>82553.2</v>
      </c>
      <c r="Q552" s="12">
        <v>0.411282663785292</v>
      </c>
    </row>
    <row r="553" spans="1:17">
      <c r="A553" s="10">
        <v>2023</v>
      </c>
      <c r="B553" s="10" t="s">
        <v>28</v>
      </c>
      <c r="F553" s="10">
        <v>13.53</v>
      </c>
      <c r="H553" s="16">
        <v>6121</v>
      </c>
      <c r="I553" s="10">
        <v>3765</v>
      </c>
      <c r="J553" s="12">
        <v>0.615095572618853</v>
      </c>
      <c r="K553" s="10">
        <v>76830</v>
      </c>
      <c r="O553" s="10">
        <v>18871.8</v>
      </c>
      <c r="P553" s="10">
        <v>47050.6</v>
      </c>
      <c r="Q553" s="12">
        <v>0.401095841498302</v>
      </c>
    </row>
    <row r="554" spans="1:17">
      <c r="A554" s="10">
        <v>2023</v>
      </c>
      <c r="B554" s="10" t="s">
        <v>29</v>
      </c>
      <c r="F554" s="10">
        <v>8.69</v>
      </c>
      <c r="H554" s="16">
        <v>4183</v>
      </c>
      <c r="I554" s="10">
        <v>2972</v>
      </c>
      <c r="J554" s="12">
        <v>0.710494860148219</v>
      </c>
      <c r="K554" s="10">
        <v>129865</v>
      </c>
      <c r="O554" s="10">
        <v>23966.4</v>
      </c>
      <c r="P554" s="10">
        <v>54355.1</v>
      </c>
      <c r="Q554" s="12">
        <v>0.440922746899555</v>
      </c>
    </row>
    <row r="555" spans="1:17">
      <c r="A555" s="10">
        <v>2023</v>
      </c>
      <c r="B555" s="10" t="s">
        <v>30</v>
      </c>
      <c r="F555" s="10">
        <v>8.3</v>
      </c>
      <c r="H555" s="16">
        <v>4515</v>
      </c>
      <c r="I555" s="10">
        <v>2850</v>
      </c>
      <c r="J555" s="12">
        <v>0.631229235880399</v>
      </c>
      <c r="K555" s="10">
        <v>71216</v>
      </c>
      <c r="O555" s="10">
        <v>13706.5</v>
      </c>
      <c r="P555" s="10">
        <v>32200.1</v>
      </c>
      <c r="Q555" s="12">
        <v>0.425666379918075</v>
      </c>
    </row>
    <row r="556" spans="1:17">
      <c r="A556" s="10">
        <v>2023</v>
      </c>
      <c r="B556" s="10" t="s">
        <v>31</v>
      </c>
      <c r="F556" s="10">
        <v>28.86</v>
      </c>
      <c r="H556" s="16">
        <v>10123</v>
      </c>
      <c r="I556" s="10">
        <v>6634</v>
      </c>
      <c r="J556" s="12">
        <v>0.655339326286674</v>
      </c>
      <c r="K556" s="10">
        <v>90771</v>
      </c>
      <c r="O556" s="10">
        <v>35987.9</v>
      </c>
      <c r="P556" s="10">
        <v>92068.7</v>
      </c>
      <c r="Q556" s="12">
        <v>0.390880939993722</v>
      </c>
    </row>
    <row r="557" spans="1:17">
      <c r="A557" s="10">
        <v>2023</v>
      </c>
      <c r="B557" s="10" t="s">
        <v>32</v>
      </c>
      <c r="F557" s="10">
        <v>14.55</v>
      </c>
      <c r="H557" s="16">
        <v>9815</v>
      </c>
      <c r="I557" s="10">
        <v>5701</v>
      </c>
      <c r="J557" s="12">
        <v>0.580845644421803</v>
      </c>
      <c r="K557" s="10">
        <v>60073</v>
      </c>
      <c r="O557" s="10">
        <v>22175.3</v>
      </c>
      <c r="P557" s="10">
        <v>59132.4</v>
      </c>
      <c r="Q557" s="12">
        <v>0.375010992281727</v>
      </c>
    </row>
    <row r="558" spans="1:17">
      <c r="A558" s="10">
        <v>2023</v>
      </c>
      <c r="B558" s="10" t="s">
        <v>33</v>
      </c>
      <c r="F558" s="10">
        <v>12.31</v>
      </c>
      <c r="H558" s="16">
        <v>5838</v>
      </c>
      <c r="I558" s="10">
        <v>3822</v>
      </c>
      <c r="J558" s="12">
        <v>0.654676258992806</v>
      </c>
      <c r="K558" s="10">
        <v>95538</v>
      </c>
      <c r="O558" s="10">
        <v>20215.5</v>
      </c>
      <c r="P558" s="10">
        <v>55803.6</v>
      </c>
      <c r="Q558" s="12">
        <v>0.362261574522074</v>
      </c>
    </row>
    <row r="559" spans="1:17">
      <c r="A559" s="10">
        <v>2023</v>
      </c>
      <c r="B559" s="10" t="s">
        <v>34</v>
      </c>
      <c r="F559" s="10">
        <v>10.22</v>
      </c>
      <c r="H559" s="16">
        <v>6568</v>
      </c>
      <c r="I559" s="10">
        <v>4017</v>
      </c>
      <c r="J559" s="12">
        <v>0.611601705237515</v>
      </c>
      <c r="K559" s="10">
        <v>75938</v>
      </c>
      <c r="O559" s="10">
        <v>18822.8</v>
      </c>
      <c r="P559" s="10">
        <v>50012.9</v>
      </c>
      <c r="Q559" s="12">
        <v>0.376358899403954</v>
      </c>
    </row>
    <row r="560" spans="1:17">
      <c r="A560" s="10">
        <v>2023</v>
      </c>
      <c r="B560" s="10" t="s">
        <v>35</v>
      </c>
      <c r="F560" s="10">
        <v>55.75</v>
      </c>
      <c r="H560" s="16">
        <v>12706</v>
      </c>
      <c r="I560" s="10">
        <v>9583</v>
      </c>
      <c r="J560" s="12">
        <v>0.754210609161026</v>
      </c>
      <c r="K560" s="10">
        <v>106985</v>
      </c>
      <c r="O560" s="10">
        <v>54437.3</v>
      </c>
      <c r="P560" s="10">
        <v>135673.2</v>
      </c>
      <c r="Q560" s="12">
        <v>0.401238417019721</v>
      </c>
    </row>
    <row r="561" spans="1:17">
      <c r="A561" s="10">
        <v>2023</v>
      </c>
      <c r="B561" s="10" t="s">
        <v>36</v>
      </c>
      <c r="F561" s="10">
        <v>8.49</v>
      </c>
      <c r="H561" s="16">
        <v>5027</v>
      </c>
      <c r="I561" s="10">
        <v>2854</v>
      </c>
      <c r="J561" s="12">
        <v>0.567734235130296</v>
      </c>
      <c r="K561" s="10">
        <v>54005</v>
      </c>
      <c r="O561" s="10">
        <v>8924.1</v>
      </c>
      <c r="P561" s="10">
        <v>27202.4</v>
      </c>
      <c r="Q561" s="12">
        <v>0.328062965032497</v>
      </c>
    </row>
    <row r="562" spans="1:17">
      <c r="A562" s="10">
        <v>2023</v>
      </c>
      <c r="B562" s="10" t="s">
        <v>37</v>
      </c>
      <c r="F562" s="10">
        <v>2.06</v>
      </c>
      <c r="H562" s="16">
        <v>1043</v>
      </c>
      <c r="I562" s="10">
        <v>651</v>
      </c>
      <c r="J562" s="12">
        <v>0.624161073825503</v>
      </c>
      <c r="K562" s="10">
        <v>72958</v>
      </c>
      <c r="O562" s="10">
        <v>1448.5</v>
      </c>
      <c r="P562" s="10">
        <v>7551.2</v>
      </c>
      <c r="Q562" s="12">
        <v>0.191823816082212</v>
      </c>
    </row>
    <row r="563" spans="1:17">
      <c r="A563" s="10">
        <v>2023</v>
      </c>
      <c r="B563" s="10" t="s">
        <v>38</v>
      </c>
      <c r="F563" s="10">
        <v>7.82</v>
      </c>
      <c r="H563" s="16">
        <v>3191</v>
      </c>
      <c r="I563" s="10">
        <v>2287</v>
      </c>
      <c r="J563" s="12">
        <v>0.716703227828267</v>
      </c>
      <c r="K563" s="10">
        <v>94147</v>
      </c>
      <c r="O563" s="10">
        <v>11699.1</v>
      </c>
      <c r="P563" s="10">
        <v>30145.8</v>
      </c>
      <c r="Q563" s="12">
        <v>0.388083912186772</v>
      </c>
    </row>
    <row r="564" spans="1:17">
      <c r="A564" s="10">
        <v>2023</v>
      </c>
      <c r="B564" s="10" t="s">
        <v>39</v>
      </c>
      <c r="F564" s="10">
        <v>14.52</v>
      </c>
      <c r="H564" s="16">
        <v>8368</v>
      </c>
      <c r="I564" s="10">
        <v>4978</v>
      </c>
      <c r="J564" s="12">
        <v>0.594885277246654</v>
      </c>
      <c r="K564" s="10">
        <v>71835</v>
      </c>
      <c r="O564" s="10">
        <v>21306.7</v>
      </c>
      <c r="P564" s="10">
        <v>60132.9</v>
      </c>
      <c r="Q564" s="12">
        <v>0.354326832732165</v>
      </c>
    </row>
    <row r="565" spans="1:17">
      <c r="A565" s="10">
        <v>2023</v>
      </c>
      <c r="B565" s="10" t="s">
        <v>40</v>
      </c>
      <c r="F565" s="10">
        <v>10.15</v>
      </c>
      <c r="H565" s="16">
        <v>3865</v>
      </c>
      <c r="I565" s="10">
        <v>2162</v>
      </c>
      <c r="J565" s="12">
        <v>0.559379042690815</v>
      </c>
      <c r="K565" s="10">
        <v>54172</v>
      </c>
      <c r="O565" s="10">
        <v>7311.4</v>
      </c>
      <c r="P565" s="10">
        <v>20913.3</v>
      </c>
      <c r="Q565" s="12">
        <v>0.34960527511201</v>
      </c>
    </row>
    <row r="566" spans="1:17">
      <c r="A566" s="10">
        <v>2023</v>
      </c>
      <c r="B566" s="10" t="s">
        <v>41</v>
      </c>
      <c r="F566" s="10">
        <v>5.75</v>
      </c>
      <c r="H566" s="16">
        <v>4673</v>
      </c>
      <c r="I566" s="10">
        <v>2473</v>
      </c>
      <c r="J566" s="12">
        <v>0.529210357372138</v>
      </c>
      <c r="K566" s="10">
        <v>64107</v>
      </c>
      <c r="O566" s="10">
        <v>10256.3</v>
      </c>
      <c r="P566" s="10">
        <v>30021.1</v>
      </c>
      <c r="Q566" s="12">
        <v>0.341636382411038</v>
      </c>
    </row>
    <row r="567" spans="1:17">
      <c r="A567" s="10">
        <v>2023</v>
      </c>
      <c r="B567" s="10" t="s">
        <v>42</v>
      </c>
      <c r="F567" s="10">
        <v>8.13</v>
      </c>
      <c r="H567" s="16">
        <v>3952</v>
      </c>
      <c r="I567" s="10">
        <v>2575</v>
      </c>
      <c r="J567" s="12">
        <v>0.651568825910931</v>
      </c>
      <c r="K567" s="10">
        <v>85448</v>
      </c>
      <c r="O567" s="10">
        <v>16068.9</v>
      </c>
      <c r="P567" s="10">
        <v>33786.1</v>
      </c>
      <c r="Q567" s="12">
        <v>0.475606832395571</v>
      </c>
    </row>
    <row r="568" spans="1:17">
      <c r="A568" s="10">
        <v>2023</v>
      </c>
      <c r="B568" s="10" t="s">
        <v>43</v>
      </c>
      <c r="F568" s="10">
        <v>3.39</v>
      </c>
      <c r="H568" s="16">
        <v>2465</v>
      </c>
      <c r="I568" s="10">
        <v>1368</v>
      </c>
      <c r="J568" s="12">
        <v>0.554969574036511</v>
      </c>
      <c r="K568" s="10">
        <v>47867</v>
      </c>
      <c r="O568" s="10">
        <v>4080.8</v>
      </c>
      <c r="P568" s="10">
        <v>11863.8</v>
      </c>
      <c r="Q568" s="12">
        <v>0.343970734503279</v>
      </c>
    </row>
    <row r="569" spans="1:17">
      <c r="A569" s="10">
        <v>2023</v>
      </c>
      <c r="B569" s="10" t="s">
        <v>44</v>
      </c>
      <c r="F569" s="10">
        <v>0.91</v>
      </c>
      <c r="H569" s="16">
        <v>594</v>
      </c>
      <c r="I569" s="10">
        <v>373</v>
      </c>
      <c r="J569" s="12">
        <v>0.627946127946128</v>
      </c>
      <c r="K569" s="10">
        <v>63903</v>
      </c>
      <c r="O569" s="10">
        <v>1612.8</v>
      </c>
      <c r="P569" s="10">
        <v>3799.1</v>
      </c>
      <c r="Q569" s="12">
        <v>0.424521597220394</v>
      </c>
    </row>
    <row r="570" spans="1:17">
      <c r="A570" s="10">
        <v>2023</v>
      </c>
      <c r="B570" s="10" t="s">
        <v>45</v>
      </c>
      <c r="F570" s="10">
        <v>2.68</v>
      </c>
      <c r="H570" s="16">
        <v>729</v>
      </c>
      <c r="I570" s="10">
        <v>491</v>
      </c>
      <c r="J570" s="12">
        <v>0.673525377229081</v>
      </c>
      <c r="K570" s="10">
        <v>72957</v>
      </c>
      <c r="O570" s="10">
        <v>2487.2</v>
      </c>
      <c r="P570" s="10">
        <v>5315</v>
      </c>
      <c r="Q570" s="12">
        <v>0.467958607714017</v>
      </c>
    </row>
    <row r="571" spans="1:17">
      <c r="A571" s="10">
        <v>2023</v>
      </c>
      <c r="B571" s="10" t="s">
        <v>46</v>
      </c>
      <c r="F571" s="10">
        <v>9.22</v>
      </c>
      <c r="H571" s="16">
        <v>2598</v>
      </c>
      <c r="I571" s="10">
        <v>1539</v>
      </c>
      <c r="J571" s="12">
        <v>0.592378752886836</v>
      </c>
      <c r="K571" s="10">
        <v>73774</v>
      </c>
      <c r="O571" s="10">
        <v>7710.3</v>
      </c>
      <c r="P571" s="10">
        <v>19125.9</v>
      </c>
      <c r="Q571" s="12">
        <v>0.40313397016611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10" sqref="C10"/>
    </sheetView>
  </sheetViews>
  <sheetFormatPr defaultColWidth="8.72727272727273" defaultRowHeight="14" outlineLevelRow="4" outlineLevelCol="4"/>
  <cols>
    <col min="1" max="1" width="13.7272727272727" customWidth="1"/>
    <col min="2" max="5" width="15.2727272727273" customWidth="1"/>
  </cols>
  <sheetData>
    <row r="1" s="6" customFormat="1" ht="15" spans="2:5">
      <c r="B1" s="7" t="s">
        <v>48</v>
      </c>
      <c r="C1" s="7" t="s">
        <v>49</v>
      </c>
      <c r="D1" s="7" t="s">
        <v>50</v>
      </c>
      <c r="E1" s="7" t="s">
        <v>51</v>
      </c>
    </row>
    <row r="2" ht="30" spans="1:5">
      <c r="A2" s="8" t="s">
        <v>52</v>
      </c>
      <c r="B2" s="9">
        <v>0.0432</v>
      </c>
      <c r="C2" s="9">
        <v>0.0404883682044075</v>
      </c>
      <c r="D2" s="9">
        <v>0.125992447600385</v>
      </c>
      <c r="E2" s="9">
        <v>0.0411</v>
      </c>
    </row>
    <row r="3" spans="2:5">
      <c r="B3" s="10" t="s">
        <v>53</v>
      </c>
      <c r="C3" s="5" t="s">
        <v>54</v>
      </c>
      <c r="D3" s="10" t="s">
        <v>55</v>
      </c>
      <c r="E3" t="s">
        <v>56</v>
      </c>
    </row>
    <row r="4" spans="2:4">
      <c r="B4" s="10"/>
      <c r="D4" s="10"/>
    </row>
    <row r="5" spans="2:2">
      <c r="B5" s="10"/>
    </row>
  </sheetData>
  <mergeCells count="2">
    <mergeCell ref="B3:B5"/>
    <mergeCell ref="D3: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9" sqref="E9"/>
    </sheetView>
  </sheetViews>
  <sheetFormatPr defaultColWidth="8.72727272727273" defaultRowHeight="14" outlineLevelRow="7" outlineLevelCol="5"/>
  <cols>
    <col min="1" max="1" width="5.54545454545455" customWidth="1"/>
    <col min="2" max="4" width="26.3636363636364" customWidth="1"/>
    <col min="5" max="5" width="20.8181818181818" customWidth="1"/>
    <col min="6" max="6" width="7.54545454545455" customWidth="1"/>
  </cols>
  <sheetData>
    <row r="1" ht="17.5" spans="1:4">
      <c r="A1" s="1" t="s">
        <v>49</v>
      </c>
      <c r="B1" s="1"/>
      <c r="C1" s="1"/>
      <c r="D1" s="1"/>
    </row>
    <row r="2" spans="1:6">
      <c r="A2" t="s">
        <v>0</v>
      </c>
      <c r="B2" t="s">
        <v>11</v>
      </c>
      <c r="C2" t="s">
        <v>15</v>
      </c>
      <c r="D2" t="s">
        <v>57</v>
      </c>
      <c r="E2" t="s">
        <v>58</v>
      </c>
      <c r="F2" t="s">
        <v>59</v>
      </c>
    </row>
    <row r="3" spans="1:5">
      <c r="A3">
        <v>2015</v>
      </c>
      <c r="B3">
        <f>(D3/C3)*100</f>
        <v>1.39125657842564</v>
      </c>
      <c r="C3">
        <v>702511.5</v>
      </c>
      <c r="D3">
        <v>9773.73745794666</v>
      </c>
      <c r="E3" s="2">
        <v>0.18</v>
      </c>
    </row>
    <row r="4" spans="1:5">
      <c r="A4">
        <v>2020</v>
      </c>
      <c r="B4" s="3">
        <f>B3*(1-E3)</f>
        <v>1.14083039430903</v>
      </c>
      <c r="E4" s="2">
        <v>0.18</v>
      </c>
    </row>
    <row r="5" ht="17.5" spans="1:6">
      <c r="A5" s="1"/>
      <c r="B5" s="1"/>
      <c r="C5" s="1"/>
      <c r="D5" s="1"/>
      <c r="F5" s="3">
        <f>((B3/B4)^(1/5))-1</f>
        <v>0.0404883682044075</v>
      </c>
    </row>
    <row r="6" ht="17.5" spans="1:4">
      <c r="A6" s="1" t="s">
        <v>50</v>
      </c>
      <c r="B6" s="1"/>
      <c r="C6" s="1"/>
      <c r="D6" s="1"/>
    </row>
    <row r="7" ht="16.5" spans="1:6">
      <c r="A7" t="s">
        <v>0</v>
      </c>
      <c r="B7" s="4" t="s">
        <v>60</v>
      </c>
      <c r="C7" s="4" t="s">
        <v>61</v>
      </c>
      <c r="E7" t="s">
        <v>62</v>
      </c>
      <c r="F7" t="s">
        <v>59</v>
      </c>
    </row>
    <row r="8" spans="2:6">
      <c r="B8" s="5">
        <v>1034867.6</v>
      </c>
      <c r="C8" s="5">
        <v>1173823</v>
      </c>
      <c r="F8" s="3">
        <f>LN(C8/B8)</f>
        <v>0.125992447600385</v>
      </c>
    </row>
  </sheetData>
  <mergeCells count="2">
    <mergeCell ref="A1:B1"/>
    <mergeCell ref="A6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ZHOUZHOU</dc:creator>
  <cp:lastModifiedBy>Tinashe</cp:lastModifiedBy>
  <dcterms:created xsi:type="dcterms:W3CDTF">2025-06-26T04:40:00Z</dcterms:created>
  <dcterms:modified xsi:type="dcterms:W3CDTF">2025-06-26T12:42:50Z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C9AF885F151D4FE4821754E079B373C6_11</vt:lpwstr>
  </property>
  <property fmtid="{D5CDD505-2E9C-101B-9397-08002B2CF9AE}" pid="3" name="KSOProductBuildVer">
    <vt:lpwstr>2052-12.1.0.21541</vt:lpwstr>
  </property>
</Properties>
</file>